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dnan Desktop\Finance\payout-reconciliation-excel-report\"/>
    </mc:Choice>
  </mc:AlternateContent>
  <xr:revisionPtr revIDLastSave="0" documentId="13_ncr:1_{F1052978-D241-46D0-8450-CA8D74686CA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y" sheetId="1" r:id="rId1"/>
    <sheet name="Reconciliation" sheetId="2" r:id="rId2"/>
    <sheet name="Payments" sheetId="3" r:id="rId3"/>
  </sheets>
  <definedNames>
    <definedName name="_xlnm._FilterDatabase" localSheetId="2" hidden="1">Payments!$A$1:$G$106</definedName>
    <definedName name="_xlnm._FilterDatabase" localSheetId="1" hidden="1">Reconciliation!$A$1:$I$101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6" i="3" l="1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B18" i="1" s="1"/>
  <c r="G2" i="3"/>
  <c r="G101" i="2"/>
  <c r="F101" i="2"/>
  <c r="H101" i="2" s="1"/>
  <c r="G100" i="2"/>
  <c r="I100" i="2" s="1"/>
  <c r="F100" i="2"/>
  <c r="H100" i="2" s="1"/>
  <c r="G99" i="2"/>
  <c r="F99" i="2"/>
  <c r="H99" i="2" s="1"/>
  <c r="G98" i="2"/>
  <c r="I98" i="2" s="1"/>
  <c r="F98" i="2"/>
  <c r="H98" i="2" s="1"/>
  <c r="G97" i="2"/>
  <c r="F97" i="2"/>
  <c r="H97" i="2" s="1"/>
  <c r="G96" i="2"/>
  <c r="I96" i="2" s="1"/>
  <c r="F96" i="2"/>
  <c r="H96" i="2" s="1"/>
  <c r="G95" i="2"/>
  <c r="F95" i="2"/>
  <c r="H95" i="2" s="1"/>
  <c r="G94" i="2"/>
  <c r="I94" i="2" s="1"/>
  <c r="F94" i="2"/>
  <c r="H94" i="2" s="1"/>
  <c r="G93" i="2"/>
  <c r="F93" i="2"/>
  <c r="H93" i="2" s="1"/>
  <c r="G92" i="2"/>
  <c r="I92" i="2" s="1"/>
  <c r="F92" i="2"/>
  <c r="H92" i="2" s="1"/>
  <c r="G91" i="2"/>
  <c r="F91" i="2"/>
  <c r="H91" i="2" s="1"/>
  <c r="G90" i="2"/>
  <c r="I90" i="2" s="1"/>
  <c r="F90" i="2"/>
  <c r="H90" i="2" s="1"/>
  <c r="G89" i="2"/>
  <c r="F89" i="2"/>
  <c r="H89" i="2" s="1"/>
  <c r="G88" i="2"/>
  <c r="I88" i="2" s="1"/>
  <c r="F88" i="2"/>
  <c r="H88" i="2" s="1"/>
  <c r="G87" i="2"/>
  <c r="F87" i="2"/>
  <c r="H87" i="2" s="1"/>
  <c r="G86" i="2"/>
  <c r="I86" i="2" s="1"/>
  <c r="F86" i="2"/>
  <c r="H86" i="2" s="1"/>
  <c r="G85" i="2"/>
  <c r="F85" i="2"/>
  <c r="H85" i="2" s="1"/>
  <c r="G84" i="2"/>
  <c r="I84" i="2" s="1"/>
  <c r="F84" i="2"/>
  <c r="H84" i="2" s="1"/>
  <c r="G83" i="2"/>
  <c r="F83" i="2"/>
  <c r="H83" i="2" s="1"/>
  <c r="G82" i="2"/>
  <c r="I82" i="2" s="1"/>
  <c r="F82" i="2"/>
  <c r="H82" i="2" s="1"/>
  <c r="G81" i="2"/>
  <c r="F81" i="2"/>
  <c r="H81" i="2" s="1"/>
  <c r="G80" i="2"/>
  <c r="I80" i="2" s="1"/>
  <c r="F80" i="2"/>
  <c r="H80" i="2" s="1"/>
  <c r="G79" i="2"/>
  <c r="F79" i="2"/>
  <c r="H79" i="2" s="1"/>
  <c r="G78" i="2"/>
  <c r="I78" i="2" s="1"/>
  <c r="F78" i="2"/>
  <c r="H78" i="2" s="1"/>
  <c r="G77" i="2"/>
  <c r="F77" i="2"/>
  <c r="H77" i="2" s="1"/>
  <c r="G76" i="2"/>
  <c r="I76" i="2" s="1"/>
  <c r="F76" i="2"/>
  <c r="H76" i="2" s="1"/>
  <c r="G75" i="2"/>
  <c r="F75" i="2"/>
  <c r="H75" i="2" s="1"/>
  <c r="G74" i="2"/>
  <c r="I74" i="2" s="1"/>
  <c r="F74" i="2"/>
  <c r="H74" i="2" s="1"/>
  <c r="G73" i="2"/>
  <c r="F73" i="2"/>
  <c r="H73" i="2" s="1"/>
  <c r="G72" i="2"/>
  <c r="I72" i="2" s="1"/>
  <c r="F72" i="2"/>
  <c r="H72" i="2" s="1"/>
  <c r="G71" i="2"/>
  <c r="F71" i="2"/>
  <c r="H71" i="2" s="1"/>
  <c r="G70" i="2"/>
  <c r="I70" i="2" s="1"/>
  <c r="F70" i="2"/>
  <c r="H70" i="2" s="1"/>
  <c r="G69" i="2"/>
  <c r="I69" i="2" s="1"/>
  <c r="F69" i="2"/>
  <c r="H69" i="2" s="1"/>
  <c r="G68" i="2"/>
  <c r="I68" i="2" s="1"/>
  <c r="F68" i="2"/>
  <c r="H68" i="2" s="1"/>
  <c r="G67" i="2"/>
  <c r="F67" i="2"/>
  <c r="H67" i="2" s="1"/>
  <c r="G66" i="2"/>
  <c r="I66" i="2" s="1"/>
  <c r="F66" i="2"/>
  <c r="H66" i="2" s="1"/>
  <c r="G65" i="2"/>
  <c r="F65" i="2"/>
  <c r="H65" i="2" s="1"/>
  <c r="G64" i="2"/>
  <c r="I64" i="2" s="1"/>
  <c r="F64" i="2"/>
  <c r="H64" i="2" s="1"/>
  <c r="G63" i="2"/>
  <c r="F63" i="2"/>
  <c r="H63" i="2" s="1"/>
  <c r="G62" i="2"/>
  <c r="I62" i="2" s="1"/>
  <c r="F62" i="2"/>
  <c r="H62" i="2" s="1"/>
  <c r="G61" i="2"/>
  <c r="F61" i="2"/>
  <c r="H61" i="2" s="1"/>
  <c r="G60" i="2"/>
  <c r="I60" i="2" s="1"/>
  <c r="F60" i="2"/>
  <c r="H60" i="2" s="1"/>
  <c r="G59" i="2"/>
  <c r="F59" i="2"/>
  <c r="H59" i="2" s="1"/>
  <c r="G58" i="2"/>
  <c r="I58" i="2" s="1"/>
  <c r="F58" i="2"/>
  <c r="H58" i="2" s="1"/>
  <c r="G57" i="2"/>
  <c r="F57" i="2"/>
  <c r="H57" i="2" s="1"/>
  <c r="G56" i="2"/>
  <c r="I56" i="2" s="1"/>
  <c r="F56" i="2"/>
  <c r="H56" i="2" s="1"/>
  <c r="G55" i="2"/>
  <c r="I55" i="2" s="1"/>
  <c r="F55" i="2"/>
  <c r="H55" i="2" s="1"/>
  <c r="G54" i="2"/>
  <c r="I54" i="2" s="1"/>
  <c r="F54" i="2"/>
  <c r="H54" i="2" s="1"/>
  <c r="G53" i="2"/>
  <c r="I53" i="2" s="1"/>
  <c r="F53" i="2"/>
  <c r="H53" i="2" s="1"/>
  <c r="G52" i="2"/>
  <c r="I52" i="2" s="1"/>
  <c r="F52" i="2"/>
  <c r="H52" i="2" s="1"/>
  <c r="G51" i="2"/>
  <c r="F51" i="2"/>
  <c r="H51" i="2" s="1"/>
  <c r="G50" i="2"/>
  <c r="I50" i="2" s="1"/>
  <c r="F50" i="2"/>
  <c r="H50" i="2" s="1"/>
  <c r="G49" i="2"/>
  <c r="F49" i="2"/>
  <c r="H49" i="2" s="1"/>
  <c r="G48" i="2"/>
  <c r="I48" i="2" s="1"/>
  <c r="F48" i="2"/>
  <c r="H48" i="2" s="1"/>
  <c r="G47" i="2"/>
  <c r="F47" i="2"/>
  <c r="H47" i="2" s="1"/>
  <c r="G46" i="2"/>
  <c r="I46" i="2" s="1"/>
  <c r="F46" i="2"/>
  <c r="H46" i="2" s="1"/>
  <c r="G45" i="2"/>
  <c r="I45" i="2" s="1"/>
  <c r="F45" i="2"/>
  <c r="H45" i="2" s="1"/>
  <c r="G44" i="2"/>
  <c r="I44" i="2" s="1"/>
  <c r="F44" i="2"/>
  <c r="H44" i="2" s="1"/>
  <c r="G43" i="2"/>
  <c r="F43" i="2"/>
  <c r="H43" i="2" s="1"/>
  <c r="G42" i="2"/>
  <c r="I42" i="2" s="1"/>
  <c r="F42" i="2"/>
  <c r="H42" i="2" s="1"/>
  <c r="G41" i="2"/>
  <c r="F41" i="2"/>
  <c r="H41" i="2" s="1"/>
  <c r="G40" i="2"/>
  <c r="I40" i="2" s="1"/>
  <c r="F40" i="2"/>
  <c r="H40" i="2" s="1"/>
  <c r="G39" i="2"/>
  <c r="I39" i="2" s="1"/>
  <c r="F39" i="2"/>
  <c r="H39" i="2" s="1"/>
  <c r="G38" i="2"/>
  <c r="I38" i="2" s="1"/>
  <c r="F38" i="2"/>
  <c r="H38" i="2" s="1"/>
  <c r="G37" i="2"/>
  <c r="I37" i="2" s="1"/>
  <c r="F37" i="2"/>
  <c r="H37" i="2" s="1"/>
  <c r="G36" i="2"/>
  <c r="I36" i="2" s="1"/>
  <c r="F36" i="2"/>
  <c r="H36" i="2" s="1"/>
  <c r="G35" i="2"/>
  <c r="F35" i="2"/>
  <c r="H35" i="2" s="1"/>
  <c r="G34" i="2"/>
  <c r="I34" i="2" s="1"/>
  <c r="F34" i="2"/>
  <c r="H34" i="2" s="1"/>
  <c r="G33" i="2"/>
  <c r="I33" i="2" s="1"/>
  <c r="F33" i="2"/>
  <c r="H33" i="2" s="1"/>
  <c r="G32" i="2"/>
  <c r="I32" i="2" s="1"/>
  <c r="F32" i="2"/>
  <c r="H32" i="2" s="1"/>
  <c r="G31" i="2"/>
  <c r="F31" i="2"/>
  <c r="H31" i="2" s="1"/>
  <c r="I30" i="2"/>
  <c r="G30" i="2"/>
  <c r="F30" i="2"/>
  <c r="H30" i="2" s="1"/>
  <c r="G29" i="2"/>
  <c r="F29" i="2"/>
  <c r="H29" i="2" s="1"/>
  <c r="G28" i="2"/>
  <c r="F28" i="2"/>
  <c r="H28" i="2" s="1"/>
  <c r="G27" i="2"/>
  <c r="I27" i="2" s="1"/>
  <c r="F27" i="2"/>
  <c r="H27" i="2" s="1"/>
  <c r="G26" i="2"/>
  <c r="I26" i="2" s="1"/>
  <c r="F26" i="2"/>
  <c r="H26" i="2" s="1"/>
  <c r="G25" i="2"/>
  <c r="F25" i="2"/>
  <c r="H25" i="2" s="1"/>
  <c r="G24" i="2"/>
  <c r="F24" i="2"/>
  <c r="H24" i="2" s="1"/>
  <c r="G23" i="2"/>
  <c r="F23" i="2"/>
  <c r="H23" i="2" s="1"/>
  <c r="I23" i="2" s="1"/>
  <c r="G22" i="2"/>
  <c r="I22" i="2" s="1"/>
  <c r="F22" i="2"/>
  <c r="H22" i="2" s="1"/>
  <c r="G21" i="2"/>
  <c r="F21" i="2"/>
  <c r="H21" i="2" s="1"/>
  <c r="G20" i="2"/>
  <c r="I20" i="2" s="1"/>
  <c r="F20" i="2"/>
  <c r="H20" i="2" s="1"/>
  <c r="G19" i="2"/>
  <c r="F19" i="2"/>
  <c r="H19" i="2" s="1"/>
  <c r="I19" i="2" s="1"/>
  <c r="I18" i="2"/>
  <c r="G18" i="2"/>
  <c r="F18" i="2"/>
  <c r="H18" i="2" s="1"/>
  <c r="G17" i="2"/>
  <c r="I17" i="2" s="1"/>
  <c r="F17" i="2"/>
  <c r="H17" i="2" s="1"/>
  <c r="G16" i="2"/>
  <c r="F16" i="2"/>
  <c r="H16" i="2" s="1"/>
  <c r="H15" i="2"/>
  <c r="G15" i="2"/>
  <c r="F15" i="2"/>
  <c r="H14" i="2"/>
  <c r="G14" i="2"/>
  <c r="I14" i="2" s="1"/>
  <c r="F14" i="2"/>
  <c r="G13" i="2"/>
  <c r="F13" i="2"/>
  <c r="H13" i="2" s="1"/>
  <c r="G12" i="2"/>
  <c r="F12" i="2"/>
  <c r="H12" i="2" s="1"/>
  <c r="H11" i="2"/>
  <c r="G11" i="2"/>
  <c r="F11" i="2"/>
  <c r="H10" i="2"/>
  <c r="G10" i="2"/>
  <c r="I10" i="2" s="1"/>
  <c r="F10" i="2"/>
  <c r="G9" i="2"/>
  <c r="F9" i="2"/>
  <c r="H9" i="2" s="1"/>
  <c r="G8" i="2"/>
  <c r="F8" i="2"/>
  <c r="H8" i="2" s="1"/>
  <c r="H7" i="2"/>
  <c r="G7" i="2"/>
  <c r="I7" i="2" s="1"/>
  <c r="F7" i="2"/>
  <c r="H6" i="2"/>
  <c r="G6" i="2"/>
  <c r="I6" i="2" s="1"/>
  <c r="F6" i="2"/>
  <c r="G5" i="2"/>
  <c r="F5" i="2"/>
  <c r="H5" i="2" s="1"/>
  <c r="G4" i="2"/>
  <c r="F4" i="2"/>
  <c r="H4" i="2" s="1"/>
  <c r="H3" i="2"/>
  <c r="G3" i="2"/>
  <c r="I3" i="2" s="1"/>
  <c r="F3" i="2"/>
  <c r="H2" i="2"/>
  <c r="G2" i="2"/>
  <c r="I2" i="2" s="1"/>
  <c r="F2" i="2"/>
  <c r="I5" i="2" l="1"/>
  <c r="I13" i="2"/>
  <c r="I29" i="2"/>
  <c r="I9" i="2"/>
  <c r="I4" i="2"/>
  <c r="I12" i="2"/>
  <c r="I21" i="2"/>
  <c r="I24" i="2"/>
  <c r="I8" i="2"/>
  <c r="I16" i="2"/>
  <c r="I11" i="2"/>
  <c r="I15" i="2"/>
  <c r="I25" i="2"/>
  <c r="I28" i="2"/>
  <c r="B17" i="1"/>
  <c r="I31" i="2"/>
  <c r="I35" i="2"/>
  <c r="I41" i="2"/>
  <c r="I43" i="2"/>
  <c r="I47" i="2"/>
  <c r="I49" i="2"/>
  <c r="I51" i="2"/>
  <c r="I57" i="2"/>
  <c r="I59" i="2"/>
  <c r="I61" i="2"/>
  <c r="I63" i="2"/>
  <c r="I65" i="2"/>
  <c r="I67" i="2"/>
  <c r="I71" i="2"/>
  <c r="I73" i="2"/>
  <c r="I75" i="2"/>
  <c r="I77" i="2"/>
  <c r="I79" i="2"/>
  <c r="I81" i="2"/>
  <c r="I83" i="2"/>
  <c r="I85" i="2"/>
  <c r="I87" i="2"/>
  <c r="I89" i="2"/>
  <c r="I91" i="2"/>
  <c r="I93" i="2"/>
  <c r="I95" i="2"/>
  <c r="I97" i="2"/>
  <c r="I99" i="2"/>
  <c r="I101" i="2"/>
  <c r="F7" i="1" l="1"/>
  <c r="D11" i="1"/>
  <c r="E7" i="1"/>
  <c r="F9" i="1"/>
  <c r="D8" i="1"/>
  <c r="B9" i="1"/>
  <c r="F8" i="1"/>
  <c r="D9" i="1"/>
  <c r="E8" i="1"/>
  <c r="E9" i="1"/>
  <c r="E11" i="1"/>
  <c r="F11" i="1"/>
  <c r="E10" i="1"/>
  <c r="B8" i="1"/>
  <c r="F10" i="1"/>
  <c r="B10" i="1"/>
  <c r="B11" i="1"/>
  <c r="D10" i="1"/>
  <c r="B7" i="1"/>
  <c r="D7" i="1"/>
  <c r="B15" i="1" l="1"/>
  <c r="E12" i="1"/>
  <c r="F12" i="1"/>
  <c r="D12" i="1"/>
  <c r="B12" i="1"/>
  <c r="B16" i="1"/>
  <c r="C8" i="1" l="1"/>
  <c r="C10" i="1"/>
  <c r="C9" i="1"/>
  <c r="C11" i="1"/>
  <c r="C7" i="1"/>
  <c r="C12" i="1" l="1"/>
</calcChain>
</file>

<file path=xl/sharedStrings.xml><?xml version="1.0" encoding="utf-8"?>
<sst xmlns="http://schemas.openxmlformats.org/spreadsheetml/2006/main" count="554" uniqueCount="255">
  <si>
    <t>Marketplace Payout Reconciliation Report</t>
  </si>
  <si>
    <t>SAMPLE DATA: synthetic invoices and payments generated for demonstration. Not real client data.</t>
  </si>
  <si>
    <t>Match tolerance ($)</t>
  </si>
  <si>
    <t>Input: a difference within this amount counts as Paid.</t>
  </si>
  <si>
    <t>Status</t>
  </si>
  <si>
    <t>Invoices</t>
  </si>
  <si>
    <t>% of Invoices</t>
  </si>
  <si>
    <t>Invoiced ($)</t>
  </si>
  <si>
    <t>Paid ($)</t>
  </si>
  <si>
    <t>Difference ($)</t>
  </si>
  <si>
    <t>Paid</t>
  </si>
  <si>
    <t>Unpaid</t>
  </si>
  <si>
    <t>Short Pay</t>
  </si>
  <si>
    <t>Overpaid</t>
  </si>
  <si>
    <t>Duplicate</t>
  </si>
  <si>
    <t>Total</t>
  </si>
  <si>
    <t>Key findings</t>
  </si>
  <si>
    <t>Money owed (Unpaid + Short Pay) ($)</t>
  </si>
  <si>
    <t>Excess received (Overpaid + Duplicate) ($)</t>
  </si>
  <si>
    <t>Unapplied payments (count)</t>
  </si>
  <si>
    <t>Unapplied payments ($)</t>
  </si>
  <si>
    <t>How to read this: the Reconciliation sheet matches every invoice to its payments by Account + PO Number. Filter the Status column to see exactly which invoices to chase.</t>
  </si>
  <si>
    <t>Status rules: Unpaid = no payment; Paid = matches within tolerance; Short Pay = paid less; Overpaid = paid more; Duplicate = 2+ payments totalling 2x, 3x or 4x the invoice.</t>
  </si>
  <si>
    <t>Invoice ID</t>
  </si>
  <si>
    <t>Account</t>
  </si>
  <si>
    <t>PO Number</t>
  </si>
  <si>
    <t>Invoice Date</t>
  </si>
  <si>
    <t>Invoice Amount</t>
  </si>
  <si>
    <t>Total Paid</t>
  </si>
  <si>
    <t>Payments</t>
  </si>
  <si>
    <t>Difference</t>
  </si>
  <si>
    <t>AC2000</t>
  </si>
  <si>
    <t>PO100001</t>
  </si>
  <si>
    <t>AC3000</t>
  </si>
  <si>
    <t>PO100002</t>
  </si>
  <si>
    <t>AC4000</t>
  </si>
  <si>
    <t>PO100003</t>
  </si>
  <si>
    <t>PO100005</t>
  </si>
  <si>
    <t>PO100006</t>
  </si>
  <si>
    <t>PO100007</t>
  </si>
  <si>
    <t>AC1000</t>
  </si>
  <si>
    <t>PO100008</t>
  </si>
  <si>
    <t>PO100009</t>
  </si>
  <si>
    <t>PO100010</t>
  </si>
  <si>
    <t>PO100011</t>
  </si>
  <si>
    <t>PO100012</t>
  </si>
  <si>
    <t>PO100013</t>
  </si>
  <si>
    <t>PO100014</t>
  </si>
  <si>
    <t>PO100015</t>
  </si>
  <si>
    <t>PO100016</t>
  </si>
  <si>
    <t>PO100017</t>
  </si>
  <si>
    <t>PO100018</t>
  </si>
  <si>
    <t>PO100019</t>
  </si>
  <si>
    <t>PO100021</t>
  </si>
  <si>
    <t>PO100022</t>
  </si>
  <si>
    <t>PO100023</t>
  </si>
  <si>
    <t>PO100024</t>
  </si>
  <si>
    <t>PO100025</t>
  </si>
  <si>
    <t>PO100026</t>
  </si>
  <si>
    <t>PO100028</t>
  </si>
  <si>
    <t>PO100029</t>
  </si>
  <si>
    <t>PO100030</t>
  </si>
  <si>
    <t>PO100031</t>
  </si>
  <si>
    <t>PO100032</t>
  </si>
  <si>
    <t>PO100033</t>
  </si>
  <si>
    <t>PO100034</t>
  </si>
  <si>
    <t>PO100035</t>
  </si>
  <si>
    <t>PO100036</t>
  </si>
  <si>
    <t>PO100037</t>
  </si>
  <si>
    <t>PO100038</t>
  </si>
  <si>
    <t>PO100039</t>
  </si>
  <si>
    <t>PO100040</t>
  </si>
  <si>
    <t>PO100042</t>
  </si>
  <si>
    <t>PO100043</t>
  </si>
  <si>
    <t>PO100044</t>
  </si>
  <si>
    <t>PO100045</t>
  </si>
  <si>
    <t>PO100046</t>
  </si>
  <si>
    <t>PO100047</t>
  </si>
  <si>
    <t>PO100048</t>
  </si>
  <si>
    <t>PO100049</t>
  </si>
  <si>
    <t>PO100050</t>
  </si>
  <si>
    <t>PO100051</t>
  </si>
  <si>
    <t>PO100052</t>
  </si>
  <si>
    <t>PO100053</t>
  </si>
  <si>
    <t>PO100054</t>
  </si>
  <si>
    <t>PO100055</t>
  </si>
  <si>
    <t>PO100057</t>
  </si>
  <si>
    <t>PO100058</t>
  </si>
  <si>
    <t>PO100059</t>
  </si>
  <si>
    <t>PO100060</t>
  </si>
  <si>
    <t>PO100061</t>
  </si>
  <si>
    <t>PO100062</t>
  </si>
  <si>
    <t>PO100063</t>
  </si>
  <si>
    <t>PO100064</t>
  </si>
  <si>
    <t>PO100065</t>
  </si>
  <si>
    <t>PO100066</t>
  </si>
  <si>
    <t>PO100067</t>
  </si>
  <si>
    <t>PO100068</t>
  </si>
  <si>
    <t>PO100069</t>
  </si>
  <si>
    <t>PO100070</t>
  </si>
  <si>
    <t>PO100071</t>
  </si>
  <si>
    <t>PO100072</t>
  </si>
  <si>
    <t>PO100073</t>
  </si>
  <si>
    <t>PO100074</t>
  </si>
  <si>
    <t>PO100076</t>
  </si>
  <si>
    <t>PO100077</t>
  </si>
  <si>
    <t>PO100078</t>
  </si>
  <si>
    <t>PO100080</t>
  </si>
  <si>
    <t>PO100081</t>
  </si>
  <si>
    <t>PO100083</t>
  </si>
  <si>
    <t>PO100084</t>
  </si>
  <si>
    <t>PO100085</t>
  </si>
  <si>
    <t>PO100086</t>
  </si>
  <si>
    <t>PO100087</t>
  </si>
  <si>
    <t>PO100088</t>
  </si>
  <si>
    <t>PO100089</t>
  </si>
  <si>
    <t>PO100090</t>
  </si>
  <si>
    <t>PO100091</t>
  </si>
  <si>
    <t>PO100092</t>
  </si>
  <si>
    <t>PO100093</t>
  </si>
  <si>
    <t>PO100095</t>
  </si>
  <si>
    <t>PO100096</t>
  </si>
  <si>
    <t>PO100097</t>
  </si>
  <si>
    <t>PO100098</t>
  </si>
  <si>
    <t>PO100099</t>
  </si>
  <si>
    <t>PO100100</t>
  </si>
  <si>
    <t>PO100101</t>
  </si>
  <si>
    <t>PO100102</t>
  </si>
  <si>
    <t>PO100103</t>
  </si>
  <si>
    <t>PO100104</t>
  </si>
  <si>
    <t>PO100105</t>
  </si>
  <si>
    <t>PO100106</t>
  </si>
  <si>
    <t>PO100108</t>
  </si>
  <si>
    <t>PO100109</t>
  </si>
  <si>
    <t>PO100110</t>
  </si>
  <si>
    <t>Payment ID</t>
  </si>
  <si>
    <t>Payment Date</t>
  </si>
  <si>
    <t>Payment Amount</t>
  </si>
  <si>
    <t>Reference</t>
  </si>
  <si>
    <t>Invoice Match</t>
  </si>
  <si>
    <t>PMT1</t>
  </si>
  <si>
    <t>PO100004</t>
  </si>
  <si>
    <t>PMT2</t>
  </si>
  <si>
    <t>PMT3</t>
  </si>
  <si>
    <t>PMT4</t>
  </si>
  <si>
    <t>PMT5</t>
  </si>
  <si>
    <t>PMT6</t>
  </si>
  <si>
    <t>PMT7</t>
  </si>
  <si>
    <t>PMT8</t>
  </si>
  <si>
    <t>PMT9</t>
  </si>
  <si>
    <t>PMT10</t>
  </si>
  <si>
    <t>PMT11</t>
  </si>
  <si>
    <t>PMT12</t>
  </si>
  <si>
    <t>PMT13</t>
  </si>
  <si>
    <t>PMT14</t>
  </si>
  <si>
    <t>PO100020</t>
  </si>
  <si>
    <t>PMT15</t>
  </si>
  <si>
    <t>PMT16</t>
  </si>
  <si>
    <t>PMT17</t>
  </si>
  <si>
    <t>PMT18</t>
  </si>
  <si>
    <t>PMT19</t>
  </si>
  <si>
    <t>PMT20</t>
  </si>
  <si>
    <t>PMT21</t>
  </si>
  <si>
    <t>PO100027</t>
  </si>
  <si>
    <t>PMT22</t>
  </si>
  <si>
    <t>PMT23</t>
  </si>
  <si>
    <t>PMT24</t>
  </si>
  <si>
    <t>PMT25</t>
  </si>
  <si>
    <t>PMT26</t>
  </si>
  <si>
    <t>PMT27</t>
  </si>
  <si>
    <t>PMT28</t>
  </si>
  <si>
    <t>PMT29</t>
  </si>
  <si>
    <t>PMT30</t>
  </si>
  <si>
    <t>PMT31</t>
  </si>
  <si>
    <t>PMT32</t>
  </si>
  <si>
    <t>PMT33</t>
  </si>
  <si>
    <t>PMT34</t>
  </si>
  <si>
    <t>PMT35</t>
  </si>
  <si>
    <t>PO100041</t>
  </si>
  <si>
    <t>PMT36</t>
  </si>
  <si>
    <t>PMT37</t>
  </si>
  <si>
    <t>PMT38</t>
  </si>
  <si>
    <t>PMT39</t>
  </si>
  <si>
    <t>PMT40</t>
  </si>
  <si>
    <t>PMT41</t>
  </si>
  <si>
    <t>PMT42</t>
  </si>
  <si>
    <t>PMT43</t>
  </si>
  <si>
    <t>PMT44</t>
  </si>
  <si>
    <t>PMT45</t>
  </si>
  <si>
    <t>PMT46</t>
  </si>
  <si>
    <t>PMT47</t>
  </si>
  <si>
    <t>PMT48</t>
  </si>
  <si>
    <t>PMT49</t>
  </si>
  <si>
    <t>PO100056</t>
  </si>
  <si>
    <t>PMT50</t>
  </si>
  <si>
    <t>PMT51</t>
  </si>
  <si>
    <t>PMT52</t>
  </si>
  <si>
    <t>PMT53</t>
  </si>
  <si>
    <t>PMT54</t>
  </si>
  <si>
    <t>PMT55</t>
  </si>
  <si>
    <t>PMT56</t>
  </si>
  <si>
    <t>PMT57</t>
  </si>
  <si>
    <t>PMT58</t>
  </si>
  <si>
    <t>PMT59</t>
  </si>
  <si>
    <t>PMT60</t>
  </si>
  <si>
    <t>PMT61</t>
  </si>
  <si>
    <t>PMT62</t>
  </si>
  <si>
    <t>PMT63</t>
  </si>
  <si>
    <t>PMT64</t>
  </si>
  <si>
    <t>PMT65</t>
  </si>
  <si>
    <t>PMT66</t>
  </si>
  <si>
    <t>PO100075</t>
  </si>
  <si>
    <t>PMT67</t>
  </si>
  <si>
    <t>PMT68</t>
  </si>
  <si>
    <t>PMT69</t>
  </si>
  <si>
    <t>PMT70</t>
  </si>
  <si>
    <t>PO100079</t>
  </si>
  <si>
    <t>PMT71</t>
  </si>
  <si>
    <t>PMT72</t>
  </si>
  <si>
    <t>PMT73</t>
  </si>
  <si>
    <t>PO100082</t>
  </si>
  <si>
    <t>PMT74</t>
  </si>
  <si>
    <t>PMT75</t>
  </si>
  <si>
    <t>PMT76</t>
  </si>
  <si>
    <t>PMT77</t>
  </si>
  <si>
    <t>PMT78</t>
  </si>
  <si>
    <t>PMT79</t>
  </si>
  <si>
    <t>PMT80</t>
  </si>
  <si>
    <t>PMT81</t>
  </si>
  <si>
    <t>PMT82</t>
  </si>
  <si>
    <t>PMT83</t>
  </si>
  <si>
    <t>PMT84</t>
  </si>
  <si>
    <t>PMT85</t>
  </si>
  <si>
    <t>PMT86</t>
  </si>
  <si>
    <t>PMT87</t>
  </si>
  <si>
    <t>PO100094</t>
  </si>
  <si>
    <t>PMT88</t>
  </si>
  <si>
    <t>PMT89</t>
  </si>
  <si>
    <t>PMT90</t>
  </si>
  <si>
    <t>PMT91</t>
  </si>
  <si>
    <t>PMT92</t>
  </si>
  <si>
    <t>PMT93</t>
  </si>
  <si>
    <t>PMT94</t>
  </si>
  <si>
    <t>PMT95</t>
  </si>
  <si>
    <t>PMT96</t>
  </si>
  <si>
    <t>PMT97</t>
  </si>
  <si>
    <t>PMT98</t>
  </si>
  <si>
    <t>PMT99</t>
  </si>
  <si>
    <t>PMT100</t>
  </si>
  <si>
    <t>PO100107</t>
  </si>
  <si>
    <t>PMT101</t>
  </si>
  <si>
    <t>PMT102</t>
  </si>
  <si>
    <t>PMT103</t>
  </si>
  <si>
    <t>PMT104</t>
  </si>
  <si>
    <t>PMT105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</si>
</sst>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$#,##0.00;\(\$#,##0.00\);\-"/>
    <numFmt numFmtId="166" formatCode="\$0.00"/>
    <numFmt numFmtId="167" formatCode="0.0%"/>
    <numFmt numFmtId="168" formatCode="\$#,##0;\(\$#,##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6"/>
      <color rgb="FF1F3864"/>
      <name val="Arial"/>
    </font>
    <font>
      <i/>
      <sz val="9"/>
      <color rgb="FF595959"/>
      <name val="Arial"/>
    </font>
    <font>
      <b/>
      <sz val="10"/>
      <name val="Arial"/>
    </font>
    <font>
      <sz val="10"/>
      <color rgb="FF0000FF"/>
      <name val="Arial"/>
    </font>
    <font>
      <b/>
      <sz val="11"/>
      <color rgb="FF1F3864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66" fontId="6" fillId="3" borderId="0" xfId="0" applyNumberFormat="1" applyFont="1" applyFill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167" fontId="5" fillId="4" borderId="1" xfId="0" applyNumberFormat="1" applyFont="1" applyFill="1" applyBorder="1"/>
    <xf numFmtId="168" fontId="5" fillId="4" borderId="1" xfId="0" applyNumberFormat="1" applyFont="1" applyFill="1" applyBorder="1"/>
    <xf numFmtId="0" fontId="7" fillId="0" borderId="0" xfId="0" applyFont="1"/>
    <xf numFmtId="168" fontId="5" fillId="0" borderId="1" xfId="0" applyNumberFormat="1" applyFont="1" applyBorder="1"/>
    <xf numFmtId="3" fontId="5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D9B3FF"/>
          <bgColor rgb="FFD9B3FF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Invoices by reconciliation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Summary!$B$6</c:f>
              <c:strCache>
                <c:ptCount val="1"/>
                <c:pt idx="0">
                  <c:v>Invoices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F2-436E-8BD2-9128DA07E35A}"/>
              </c:ext>
            </c:extLst>
          </c:dPt>
          <c:dPt>
            <c:idx val="1"/>
            <c:invertIfNegative val="1"/>
            <c:bubble3D val="0"/>
            <c:spPr>
              <a:solidFill>
                <a:srgbClr val="F4B183"/>
              </a:solidFill>
              <a:ln>
                <a:solidFill>
                  <a:srgbClr val="F4B18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F2-436E-8BD2-9128DA07E35A}"/>
              </c:ext>
            </c:extLst>
          </c:dPt>
          <c:dPt>
            <c:idx val="2"/>
            <c:invertIfNegative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F2-436E-8BD2-9128DA07E35A}"/>
              </c:ext>
            </c:extLst>
          </c:dPt>
          <c:dPt>
            <c:idx val="3"/>
            <c:invertIfNegative val="1"/>
            <c:bubble3D val="0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BF2-436E-8BD2-9128DA07E35A}"/>
              </c:ext>
            </c:extLst>
          </c:dPt>
          <c:dPt>
            <c:idx val="4"/>
            <c:invertIfNegative val="1"/>
            <c:bubble3D val="0"/>
            <c:spPr>
              <a:solidFill>
                <a:srgbClr val="9E6BD1"/>
              </a:solidFill>
              <a:ln>
                <a:solidFill>
                  <a:srgbClr val="9E6BD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BF2-436E-8BD2-9128DA07E35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Summary!$A$7:$A$11</c:f>
              <c:strCache>
                <c:ptCount val="5"/>
                <c:pt idx="0">
                  <c:v>Paid</c:v>
                </c:pt>
                <c:pt idx="1">
                  <c:v>Unpaid</c:v>
                </c:pt>
                <c:pt idx="2">
                  <c:v>Short Pay</c:v>
                </c:pt>
                <c:pt idx="3">
                  <c:v>Overpaid</c:v>
                </c:pt>
                <c:pt idx="4">
                  <c:v>Duplicate</c:v>
                </c:pt>
              </c:strCache>
            </c:strRef>
          </c:cat>
          <c:val>
            <c:numRef>
              <c:f>Summary!$B$7:$B$11</c:f>
              <c:numCache>
                <c:formatCode>#,##0</c:formatCode>
                <c:ptCount val="5"/>
                <c:pt idx="0">
                  <c:v>50</c:v>
                </c:pt>
                <c:pt idx="1">
                  <c:v>15</c:v>
                </c:pt>
                <c:pt idx="2">
                  <c:v>15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F2-436E-8BD2-9128DA07E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468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abSelected="1" workbookViewId="0"/>
  </sheetViews>
  <sheetFormatPr defaultRowHeight="15" x14ac:dyDescent="0.25"/>
  <cols>
    <col min="1" max="1" width="42" customWidth="1"/>
    <col min="2" max="2" width="12" customWidth="1"/>
    <col min="3" max="3" width="14" customWidth="1"/>
    <col min="4" max="6" width="16" customWidth="1"/>
  </cols>
  <sheetData>
    <row r="1" spans="1:6" ht="20.25" x14ac:dyDescent="0.3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4">
        <v>0.01</v>
      </c>
      <c r="C4" s="2" t="s">
        <v>3</v>
      </c>
    </row>
    <row r="6" spans="1:6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spans="1:6" x14ac:dyDescent="0.25">
      <c r="A7" s="6" t="s">
        <v>10</v>
      </c>
      <c r="B7" s="7">
        <f>COUNTIF(Reconciliation!$I$2:$I$101,A7)</f>
        <v>50</v>
      </c>
      <c r="C7" s="8">
        <f>IF($B$12=0,0,B7/$B$12)</f>
        <v>0.5</v>
      </c>
      <c r="D7" s="9">
        <f>SUMIF(Reconciliation!$I$2:$I$101,A7,Reconciliation!$E$2:$E$101)</f>
        <v>45616.999999999985</v>
      </c>
      <c r="E7" s="9">
        <f>SUMIF(Reconciliation!$I$2:$I$101,A7,Reconciliation!$F$2:$F$101)</f>
        <v>45616.999999999985</v>
      </c>
      <c r="F7" s="9">
        <f>SUMIF(Reconciliation!$I$2:$I$101,A7,Reconciliation!$H$2:$H$101)</f>
        <v>0</v>
      </c>
    </row>
    <row r="8" spans="1:6" x14ac:dyDescent="0.25">
      <c r="A8" s="6" t="s">
        <v>11</v>
      </c>
      <c r="B8" s="7">
        <f>COUNTIF(Reconciliation!$I$2:$I$101,A8)</f>
        <v>15</v>
      </c>
      <c r="C8" s="8">
        <f>IF($B$12=0,0,B8/$B$12)</f>
        <v>0.15</v>
      </c>
      <c r="D8" s="9">
        <f>SUMIF(Reconciliation!$I$2:$I$101,A8,Reconciliation!$E$2:$E$101)</f>
        <v>16210.050000000001</v>
      </c>
      <c r="E8" s="9">
        <f>SUMIF(Reconciliation!$I$2:$I$101,A8,Reconciliation!$F$2:$F$101)</f>
        <v>0</v>
      </c>
      <c r="F8" s="9">
        <f>SUMIF(Reconciliation!$I$2:$I$101,A8,Reconciliation!$H$2:$H$101)</f>
        <v>16210.050000000001</v>
      </c>
    </row>
    <row r="9" spans="1:6" x14ac:dyDescent="0.25">
      <c r="A9" s="6" t="s">
        <v>12</v>
      </c>
      <c r="B9" s="7">
        <f>COUNTIF(Reconciliation!$I$2:$I$101,A9)</f>
        <v>15</v>
      </c>
      <c r="C9" s="8">
        <f>IF($B$12=0,0,B9/$B$12)</f>
        <v>0.15</v>
      </c>
      <c r="D9" s="9">
        <f>SUMIF(Reconciliation!$I$2:$I$101,A9,Reconciliation!$E$2:$E$101)</f>
        <v>16994.88</v>
      </c>
      <c r="E9" s="9">
        <f>SUMIF(Reconciliation!$I$2:$I$101,A9,Reconciliation!$F$2:$F$101)</f>
        <v>13256.11</v>
      </c>
      <c r="F9" s="9">
        <f>SUMIF(Reconciliation!$I$2:$I$101,A9,Reconciliation!$H$2:$H$101)</f>
        <v>3738.77</v>
      </c>
    </row>
    <row r="10" spans="1:6" x14ac:dyDescent="0.25">
      <c r="A10" s="6" t="s">
        <v>13</v>
      </c>
      <c r="B10" s="7">
        <f>COUNTIF(Reconciliation!$I$2:$I$101,A10)</f>
        <v>10</v>
      </c>
      <c r="C10" s="8">
        <f>IF($B$12=0,0,B10/$B$12)</f>
        <v>0.1</v>
      </c>
      <c r="D10" s="9">
        <f>SUMIF(Reconciliation!$I$2:$I$101,A10,Reconciliation!$E$2:$E$101)</f>
        <v>11373.52</v>
      </c>
      <c r="E10" s="9">
        <f>SUMIF(Reconciliation!$I$2:$I$101,A10,Reconciliation!$F$2:$F$101)</f>
        <v>13545.519999999999</v>
      </c>
      <c r="F10" s="9">
        <f>SUMIF(Reconciliation!$I$2:$I$101,A10,Reconciliation!$H$2:$H$101)</f>
        <v>-2172</v>
      </c>
    </row>
    <row r="11" spans="1:6" x14ac:dyDescent="0.25">
      <c r="A11" s="6" t="s">
        <v>14</v>
      </c>
      <c r="B11" s="7">
        <f>COUNTIF(Reconciliation!$I$2:$I$101,A11)</f>
        <v>10</v>
      </c>
      <c r="C11" s="8">
        <f>IF($B$12=0,0,B11/$B$12)</f>
        <v>0.1</v>
      </c>
      <c r="D11" s="9">
        <f>SUMIF(Reconciliation!$I$2:$I$101,A11,Reconciliation!$E$2:$E$101)</f>
        <v>8123.2199999999984</v>
      </c>
      <c r="E11" s="9">
        <f>SUMIF(Reconciliation!$I$2:$I$101,A11,Reconciliation!$F$2:$F$101)</f>
        <v>16246.439999999997</v>
      </c>
      <c r="F11" s="9">
        <f>SUMIF(Reconciliation!$I$2:$I$101,A11,Reconciliation!$H$2:$H$101)</f>
        <v>-8123.2199999999984</v>
      </c>
    </row>
    <row r="12" spans="1:6" x14ac:dyDescent="0.25">
      <c r="A12" s="10" t="s">
        <v>15</v>
      </c>
      <c r="B12" s="11">
        <f>SUM(B7:B11)</f>
        <v>100</v>
      </c>
      <c r="C12" s="12">
        <f>SUM(C7:C11)</f>
        <v>1</v>
      </c>
      <c r="D12" s="13">
        <f>SUM(D7:D11)</f>
        <v>98318.67</v>
      </c>
      <c r="E12" s="13">
        <f>SUM(E7:E11)</f>
        <v>88665.069999999992</v>
      </c>
      <c r="F12" s="13">
        <f>SUM(F7:F11)</f>
        <v>9653.6000000000022</v>
      </c>
    </row>
    <row r="14" spans="1:6" x14ac:dyDescent="0.25">
      <c r="A14" s="14" t="s">
        <v>16</v>
      </c>
    </row>
    <row r="15" spans="1:6" x14ac:dyDescent="0.25">
      <c r="A15" s="6" t="s">
        <v>17</v>
      </c>
      <c r="B15" s="15">
        <f>F8+F9</f>
        <v>19948.82</v>
      </c>
    </row>
    <row r="16" spans="1:6" x14ac:dyDescent="0.25">
      <c r="A16" s="6" t="s">
        <v>18</v>
      </c>
      <c r="B16" s="15">
        <f>-(F10+F11)</f>
        <v>10295.219999999998</v>
      </c>
    </row>
    <row r="17" spans="1:2" x14ac:dyDescent="0.25">
      <c r="A17" s="6" t="s">
        <v>19</v>
      </c>
      <c r="B17" s="16">
        <f>COUNTIF(Payments!$G$2:$G$106,"Unapplied")</f>
        <v>10</v>
      </c>
    </row>
    <row r="18" spans="1:2" x14ac:dyDescent="0.25">
      <c r="A18" s="6" t="s">
        <v>20</v>
      </c>
      <c r="B18" s="15">
        <f>SUMIF(Payments!$G$2:$G$106,"Unapplied",Payments!$E$2:$E$106)</f>
        <v>2482.7199999999998</v>
      </c>
    </row>
    <row r="20" spans="1:2" x14ac:dyDescent="0.25">
      <c r="A20" s="2" t="s">
        <v>21</v>
      </c>
    </row>
    <row r="21" spans="1:2" x14ac:dyDescent="0.25">
      <c r="A21" s="2" t="s">
        <v>22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4" width="14" customWidth="1"/>
    <col min="5" max="5" width="16" customWidth="1"/>
    <col min="6" max="6" width="14" customWidth="1"/>
    <col min="7" max="7" width="12" customWidth="1"/>
    <col min="8" max="8" width="14" customWidth="1"/>
    <col min="9" max="9" width="12" customWidth="1"/>
  </cols>
  <sheetData>
    <row r="1" spans="1:9" x14ac:dyDescent="0.25">
      <c r="A1" s="17" t="s">
        <v>23</v>
      </c>
      <c r="B1" s="17" t="s">
        <v>24</v>
      </c>
      <c r="C1" s="17" t="s">
        <v>25</v>
      </c>
      <c r="D1" s="17" t="s">
        <v>26</v>
      </c>
      <c r="E1" s="17" t="s">
        <v>27</v>
      </c>
      <c r="F1" s="17" t="s">
        <v>28</v>
      </c>
      <c r="G1" s="17" t="s">
        <v>29</v>
      </c>
      <c r="H1" s="17" t="s">
        <v>30</v>
      </c>
      <c r="I1" s="17" t="s">
        <v>4</v>
      </c>
    </row>
    <row r="2" spans="1:9" x14ac:dyDescent="0.25">
      <c r="A2" s="6">
        <v>1</v>
      </c>
      <c r="B2" s="6" t="s">
        <v>31</v>
      </c>
      <c r="C2" s="6" t="s">
        <v>32</v>
      </c>
      <c r="D2" s="18">
        <v>46192</v>
      </c>
      <c r="E2" s="19">
        <v>1830.62</v>
      </c>
      <c r="F2" s="19">
        <f>SUMIFS(Payments!$E$2:$E$106,Payments!$B$2:$B$106,B2,Payments!$C$2:$C$106,C2)</f>
        <v>0</v>
      </c>
      <c r="G2" s="20">
        <f>COUNTIFS(Payments!$B$2:$B$106,B2,Payments!$C$2:$C$106,C2)</f>
        <v>0</v>
      </c>
      <c r="H2" s="19">
        <f t="shared" ref="H2:H33" si="0">ROUND(E2-F2,2)</f>
        <v>1830.62</v>
      </c>
      <c r="I2" s="20" t="str">
        <f>IF(G2=0,"Unpaid",IF(ABS(H2)&lt;=Summary!$B$4,"Paid",IF(H2&gt;Summary!$B$4,"Short Pay",IF(AND(G2&gt;=2,OR(ABS(F2-2*E2)&lt;=Summary!$B$4,ABS(F2-3*E2)&lt;=Summary!$B$4,ABS(F2-4*E2)&lt;=Summary!$B$4)),"Duplicate","Overpaid"))))</f>
        <v>Unpaid</v>
      </c>
    </row>
    <row r="3" spans="1:9" x14ac:dyDescent="0.25">
      <c r="A3" s="6">
        <v>2</v>
      </c>
      <c r="B3" s="6" t="s">
        <v>33</v>
      </c>
      <c r="C3" s="6" t="s">
        <v>34</v>
      </c>
      <c r="D3" s="18">
        <v>46189</v>
      </c>
      <c r="E3" s="19">
        <v>464.62</v>
      </c>
      <c r="F3" s="19">
        <f>SUMIFS(Payments!$E$2:$E$106,Payments!$B$2:$B$106,B3,Payments!$C$2:$C$106,C3)</f>
        <v>0</v>
      </c>
      <c r="G3" s="20">
        <f>COUNTIFS(Payments!$B$2:$B$106,B3,Payments!$C$2:$C$106,C3)</f>
        <v>0</v>
      </c>
      <c r="H3" s="19">
        <f t="shared" si="0"/>
        <v>464.62</v>
      </c>
      <c r="I3" s="20" t="str">
        <f>IF(G3=0,"Unpaid",IF(ABS(H3)&lt;=Summary!$B$4,"Paid",IF(H3&gt;Summary!$B$4,"Short Pay",IF(AND(G3&gt;=2,OR(ABS(F3-2*E3)&lt;=Summary!$B$4,ABS(F3-3*E3)&lt;=Summary!$B$4,ABS(F3-4*E3)&lt;=Summary!$B$4)),"Duplicate","Overpaid"))))</f>
        <v>Unpaid</v>
      </c>
    </row>
    <row r="4" spans="1:9" x14ac:dyDescent="0.25">
      <c r="A4" s="6">
        <v>3</v>
      </c>
      <c r="B4" s="6" t="s">
        <v>35</v>
      </c>
      <c r="C4" s="6" t="s">
        <v>36</v>
      </c>
      <c r="D4" s="18">
        <v>46194</v>
      </c>
      <c r="E4" s="19">
        <v>1775.13</v>
      </c>
      <c r="F4" s="19">
        <f>SUMIFS(Payments!$E$2:$E$106,Payments!$B$2:$B$106,B4,Payments!$C$2:$C$106,C4)</f>
        <v>1775.13</v>
      </c>
      <c r="G4" s="20">
        <f>COUNTIFS(Payments!$B$2:$B$106,B4,Payments!$C$2:$C$106,C4)</f>
        <v>1</v>
      </c>
      <c r="H4" s="19">
        <f t="shared" si="0"/>
        <v>0</v>
      </c>
      <c r="I4" s="20" t="str">
        <f>IF(G4=0,"Unpaid",IF(ABS(H4)&lt;=Summary!$B$4,"Paid",IF(H4&gt;Summary!$B$4,"Short Pay",IF(AND(G4&gt;=2,OR(ABS(F4-2*E4)&lt;=Summary!$B$4,ABS(F4-3*E4)&lt;=Summary!$B$4,ABS(F4-4*E4)&lt;=Summary!$B$4)),"Duplicate","Overpaid"))))</f>
        <v>Paid</v>
      </c>
    </row>
    <row r="5" spans="1:9" x14ac:dyDescent="0.25">
      <c r="A5" s="6">
        <v>4</v>
      </c>
      <c r="B5" s="6" t="s">
        <v>31</v>
      </c>
      <c r="C5" s="6" t="s">
        <v>37</v>
      </c>
      <c r="D5" s="18">
        <v>46191</v>
      </c>
      <c r="E5" s="19">
        <v>1502.73</v>
      </c>
      <c r="F5" s="19">
        <f>SUMIFS(Payments!$E$2:$E$106,Payments!$B$2:$B$106,B5,Payments!$C$2:$C$106,C5)</f>
        <v>1502.73</v>
      </c>
      <c r="G5" s="20">
        <f>COUNTIFS(Payments!$B$2:$B$106,B5,Payments!$C$2:$C$106,C5)</f>
        <v>1</v>
      </c>
      <c r="H5" s="19">
        <f t="shared" si="0"/>
        <v>0</v>
      </c>
      <c r="I5" s="20" t="str">
        <f>IF(G5=0,"Unpaid",IF(ABS(H5)&lt;=Summary!$B$4,"Paid",IF(H5&gt;Summary!$B$4,"Short Pay",IF(AND(G5&gt;=2,OR(ABS(F5-2*E5)&lt;=Summary!$B$4,ABS(F5-3*E5)&lt;=Summary!$B$4,ABS(F5-4*E5)&lt;=Summary!$B$4)),"Duplicate","Overpaid"))))</f>
        <v>Paid</v>
      </c>
    </row>
    <row r="6" spans="1:9" x14ac:dyDescent="0.25">
      <c r="A6" s="6">
        <v>5</v>
      </c>
      <c r="B6" s="6" t="s">
        <v>35</v>
      </c>
      <c r="C6" s="6" t="s">
        <v>38</v>
      </c>
      <c r="D6" s="18">
        <v>46186</v>
      </c>
      <c r="E6" s="19">
        <v>1800.75</v>
      </c>
      <c r="F6" s="19">
        <f>SUMIFS(Payments!$E$2:$E$106,Payments!$B$2:$B$106,B6,Payments!$C$2:$C$106,C6)</f>
        <v>1161.1199999999999</v>
      </c>
      <c r="G6" s="20">
        <f>COUNTIFS(Payments!$B$2:$B$106,B6,Payments!$C$2:$C$106,C6)</f>
        <v>1</v>
      </c>
      <c r="H6" s="19">
        <f t="shared" si="0"/>
        <v>639.63</v>
      </c>
      <c r="I6" s="20" t="str">
        <f>IF(G6=0,"Unpaid",IF(ABS(H6)&lt;=Summary!$B$4,"Paid",IF(H6&gt;Summary!$B$4,"Short Pay",IF(AND(G6&gt;=2,OR(ABS(F6-2*E6)&lt;=Summary!$B$4,ABS(F6-3*E6)&lt;=Summary!$B$4,ABS(F6-4*E6)&lt;=Summary!$B$4)),"Duplicate","Overpaid"))))</f>
        <v>Short Pay</v>
      </c>
    </row>
    <row r="7" spans="1:9" x14ac:dyDescent="0.25">
      <c r="A7" s="6">
        <v>6</v>
      </c>
      <c r="B7" s="6" t="s">
        <v>35</v>
      </c>
      <c r="C7" s="6" t="s">
        <v>39</v>
      </c>
      <c r="D7" s="18">
        <v>46175</v>
      </c>
      <c r="E7" s="19">
        <v>227.27</v>
      </c>
      <c r="F7" s="19">
        <f>SUMIFS(Payments!$E$2:$E$106,Payments!$B$2:$B$106,B7,Payments!$C$2:$C$106,C7)</f>
        <v>0</v>
      </c>
      <c r="G7" s="20">
        <f>COUNTIFS(Payments!$B$2:$B$106,B7,Payments!$C$2:$C$106,C7)</f>
        <v>0</v>
      </c>
      <c r="H7" s="19">
        <f t="shared" si="0"/>
        <v>227.27</v>
      </c>
      <c r="I7" s="20" t="str">
        <f>IF(G7=0,"Unpaid",IF(ABS(H7)&lt;=Summary!$B$4,"Paid",IF(H7&gt;Summary!$B$4,"Short Pay",IF(AND(G7&gt;=2,OR(ABS(F7-2*E7)&lt;=Summary!$B$4,ABS(F7-3*E7)&lt;=Summary!$B$4,ABS(F7-4*E7)&lt;=Summary!$B$4)),"Duplicate","Overpaid"))))</f>
        <v>Unpaid</v>
      </c>
    </row>
    <row r="8" spans="1:9" x14ac:dyDescent="0.25">
      <c r="A8" s="6">
        <v>7</v>
      </c>
      <c r="B8" s="6" t="s">
        <v>40</v>
      </c>
      <c r="C8" s="6" t="s">
        <v>41</v>
      </c>
      <c r="D8" s="18">
        <v>46179</v>
      </c>
      <c r="E8" s="19">
        <v>348.04</v>
      </c>
      <c r="F8" s="19">
        <f>SUMIFS(Payments!$E$2:$E$106,Payments!$B$2:$B$106,B8,Payments!$C$2:$C$106,C8)</f>
        <v>348.04</v>
      </c>
      <c r="G8" s="20">
        <f>COUNTIFS(Payments!$B$2:$B$106,B8,Payments!$C$2:$C$106,C8)</f>
        <v>1</v>
      </c>
      <c r="H8" s="19">
        <f t="shared" si="0"/>
        <v>0</v>
      </c>
      <c r="I8" s="20" t="str">
        <f>IF(G8=0,"Unpaid",IF(ABS(H8)&lt;=Summary!$B$4,"Paid",IF(H8&gt;Summary!$B$4,"Short Pay",IF(AND(G8&gt;=2,OR(ABS(F8-2*E8)&lt;=Summary!$B$4,ABS(F8-3*E8)&lt;=Summary!$B$4,ABS(F8-4*E8)&lt;=Summary!$B$4)),"Duplicate","Overpaid"))))</f>
        <v>Paid</v>
      </c>
    </row>
    <row r="9" spans="1:9" x14ac:dyDescent="0.25">
      <c r="A9" s="6">
        <v>8</v>
      </c>
      <c r="B9" s="6" t="s">
        <v>40</v>
      </c>
      <c r="C9" s="6" t="s">
        <v>42</v>
      </c>
      <c r="D9" s="18">
        <v>46193</v>
      </c>
      <c r="E9" s="19">
        <v>800.3</v>
      </c>
      <c r="F9" s="19">
        <f>SUMIFS(Payments!$E$2:$E$106,Payments!$B$2:$B$106,B9,Payments!$C$2:$C$106,C9)</f>
        <v>1039.6099999999999</v>
      </c>
      <c r="G9" s="20">
        <f>COUNTIFS(Payments!$B$2:$B$106,B9,Payments!$C$2:$C$106,C9)</f>
        <v>1</v>
      </c>
      <c r="H9" s="19">
        <f t="shared" si="0"/>
        <v>-239.31</v>
      </c>
      <c r="I9" s="20" t="str">
        <f>IF(G9=0,"Unpaid",IF(ABS(H9)&lt;=Summary!$B$4,"Paid",IF(H9&gt;Summary!$B$4,"Short Pay",IF(AND(G9&gt;=2,OR(ABS(F9-2*E9)&lt;=Summary!$B$4,ABS(F9-3*E9)&lt;=Summary!$B$4,ABS(F9-4*E9)&lt;=Summary!$B$4)),"Duplicate","Overpaid"))))</f>
        <v>Overpaid</v>
      </c>
    </row>
    <row r="10" spans="1:9" x14ac:dyDescent="0.25">
      <c r="A10" s="6">
        <v>9</v>
      </c>
      <c r="B10" s="6" t="s">
        <v>40</v>
      </c>
      <c r="C10" s="6" t="s">
        <v>43</v>
      </c>
      <c r="D10" s="18">
        <v>46177</v>
      </c>
      <c r="E10" s="19">
        <v>1376.55</v>
      </c>
      <c r="F10" s="19">
        <f>SUMIFS(Payments!$E$2:$E$106,Payments!$B$2:$B$106,B10,Payments!$C$2:$C$106,C10)</f>
        <v>1376.55</v>
      </c>
      <c r="G10" s="20">
        <f>COUNTIFS(Payments!$B$2:$B$106,B10,Payments!$C$2:$C$106,C10)</f>
        <v>1</v>
      </c>
      <c r="H10" s="19">
        <f t="shared" si="0"/>
        <v>0</v>
      </c>
      <c r="I10" s="20" t="str">
        <f>IF(G10=0,"Unpaid",IF(ABS(H10)&lt;=Summary!$B$4,"Paid",IF(H10&gt;Summary!$B$4,"Short Pay",IF(AND(G10&gt;=2,OR(ABS(F10-2*E10)&lt;=Summary!$B$4,ABS(F10-3*E10)&lt;=Summary!$B$4,ABS(F10-4*E10)&lt;=Summary!$B$4)),"Duplicate","Overpaid"))))</f>
        <v>Paid</v>
      </c>
    </row>
    <row r="11" spans="1:9" x14ac:dyDescent="0.25">
      <c r="A11" s="6">
        <v>10</v>
      </c>
      <c r="B11" s="6" t="s">
        <v>33</v>
      </c>
      <c r="C11" s="6" t="s">
        <v>44</v>
      </c>
      <c r="D11" s="18">
        <v>46187</v>
      </c>
      <c r="E11" s="19">
        <v>267.52999999999997</v>
      </c>
      <c r="F11" s="19">
        <f>SUMIFS(Payments!$E$2:$E$106,Payments!$B$2:$B$106,B11,Payments!$C$2:$C$106,C11)</f>
        <v>291.48</v>
      </c>
      <c r="G11" s="20">
        <f>COUNTIFS(Payments!$B$2:$B$106,B11,Payments!$C$2:$C$106,C11)</f>
        <v>1</v>
      </c>
      <c r="H11" s="19">
        <f t="shared" si="0"/>
        <v>-23.95</v>
      </c>
      <c r="I11" s="20" t="str">
        <f>IF(G11=0,"Unpaid",IF(ABS(H11)&lt;=Summary!$B$4,"Paid",IF(H11&gt;Summary!$B$4,"Short Pay",IF(AND(G11&gt;=2,OR(ABS(F11-2*E11)&lt;=Summary!$B$4,ABS(F11-3*E11)&lt;=Summary!$B$4,ABS(F11-4*E11)&lt;=Summary!$B$4)),"Duplicate","Overpaid"))))</f>
        <v>Overpaid</v>
      </c>
    </row>
    <row r="12" spans="1:9" x14ac:dyDescent="0.25">
      <c r="A12" s="6">
        <v>11</v>
      </c>
      <c r="B12" s="6" t="s">
        <v>33</v>
      </c>
      <c r="C12" s="6" t="s">
        <v>45</v>
      </c>
      <c r="D12" s="18">
        <v>46198</v>
      </c>
      <c r="E12" s="19">
        <v>1945.18</v>
      </c>
      <c r="F12" s="19">
        <f>SUMIFS(Payments!$E$2:$E$106,Payments!$B$2:$B$106,B12,Payments!$C$2:$C$106,C12)</f>
        <v>2129.3200000000002</v>
      </c>
      <c r="G12" s="20">
        <f>COUNTIFS(Payments!$B$2:$B$106,B12,Payments!$C$2:$C$106,C12)</f>
        <v>1</v>
      </c>
      <c r="H12" s="19">
        <f t="shared" si="0"/>
        <v>-184.14</v>
      </c>
      <c r="I12" s="20" t="str">
        <f>IF(G12=0,"Unpaid",IF(ABS(H12)&lt;=Summary!$B$4,"Paid",IF(H12&gt;Summary!$B$4,"Short Pay",IF(AND(G12&gt;=2,OR(ABS(F12-2*E12)&lt;=Summary!$B$4,ABS(F12-3*E12)&lt;=Summary!$B$4,ABS(F12-4*E12)&lt;=Summary!$B$4)),"Duplicate","Overpaid"))))</f>
        <v>Overpaid</v>
      </c>
    </row>
    <row r="13" spans="1:9" x14ac:dyDescent="0.25">
      <c r="A13" s="6">
        <v>12</v>
      </c>
      <c r="B13" s="6" t="s">
        <v>33</v>
      </c>
      <c r="C13" s="6" t="s">
        <v>46</v>
      </c>
      <c r="D13" s="18">
        <v>46190</v>
      </c>
      <c r="E13" s="19">
        <v>1691.26</v>
      </c>
      <c r="F13" s="19">
        <f>SUMIFS(Payments!$E$2:$E$106,Payments!$B$2:$B$106,B13,Payments!$C$2:$C$106,C13)</f>
        <v>1691.26</v>
      </c>
      <c r="G13" s="20">
        <f>COUNTIFS(Payments!$B$2:$B$106,B13,Payments!$C$2:$C$106,C13)</f>
        <v>1</v>
      </c>
      <c r="H13" s="19">
        <f t="shared" si="0"/>
        <v>0</v>
      </c>
      <c r="I13" s="20" t="str">
        <f>IF(G13=0,"Unpaid",IF(ABS(H13)&lt;=Summary!$B$4,"Paid",IF(H13&gt;Summary!$B$4,"Short Pay",IF(AND(G13&gt;=2,OR(ABS(F13-2*E13)&lt;=Summary!$B$4,ABS(F13-3*E13)&lt;=Summary!$B$4,ABS(F13-4*E13)&lt;=Summary!$B$4)),"Duplicate","Overpaid"))))</f>
        <v>Paid</v>
      </c>
    </row>
    <row r="14" spans="1:9" x14ac:dyDescent="0.25">
      <c r="A14" s="6">
        <v>13</v>
      </c>
      <c r="B14" s="6" t="s">
        <v>31</v>
      </c>
      <c r="C14" s="6" t="s">
        <v>47</v>
      </c>
      <c r="D14" s="18">
        <v>46179</v>
      </c>
      <c r="E14" s="19">
        <v>779.13</v>
      </c>
      <c r="F14" s="19">
        <f>SUMIFS(Payments!$E$2:$E$106,Payments!$B$2:$B$106,B14,Payments!$C$2:$C$106,C14)</f>
        <v>557.66</v>
      </c>
      <c r="G14" s="20">
        <f>COUNTIFS(Payments!$B$2:$B$106,B14,Payments!$C$2:$C$106,C14)</f>
        <v>1</v>
      </c>
      <c r="H14" s="19">
        <f t="shared" si="0"/>
        <v>221.47</v>
      </c>
      <c r="I14" s="20" t="str">
        <f>IF(G14=0,"Unpaid",IF(ABS(H14)&lt;=Summary!$B$4,"Paid",IF(H14&gt;Summary!$B$4,"Short Pay",IF(AND(G14&gt;=2,OR(ABS(F14-2*E14)&lt;=Summary!$B$4,ABS(F14-3*E14)&lt;=Summary!$B$4,ABS(F14-4*E14)&lt;=Summary!$B$4)),"Duplicate","Overpaid"))))</f>
        <v>Short Pay</v>
      </c>
    </row>
    <row r="15" spans="1:9" x14ac:dyDescent="0.25">
      <c r="A15" s="6">
        <v>14</v>
      </c>
      <c r="B15" s="6" t="s">
        <v>33</v>
      </c>
      <c r="C15" s="6" t="s">
        <v>48</v>
      </c>
      <c r="D15" s="18">
        <v>46177</v>
      </c>
      <c r="E15" s="19">
        <v>1002.78</v>
      </c>
      <c r="F15" s="19">
        <f>SUMIFS(Payments!$E$2:$E$106,Payments!$B$2:$B$106,B15,Payments!$C$2:$C$106,C15)</f>
        <v>874.06</v>
      </c>
      <c r="G15" s="20">
        <f>COUNTIFS(Payments!$B$2:$B$106,B15,Payments!$C$2:$C$106,C15)</f>
        <v>1</v>
      </c>
      <c r="H15" s="19">
        <f t="shared" si="0"/>
        <v>128.72</v>
      </c>
      <c r="I15" s="20" t="str">
        <f>IF(G15=0,"Unpaid",IF(ABS(H15)&lt;=Summary!$B$4,"Paid",IF(H15&gt;Summary!$B$4,"Short Pay",IF(AND(G15&gt;=2,OR(ABS(F15-2*E15)&lt;=Summary!$B$4,ABS(F15-3*E15)&lt;=Summary!$B$4,ABS(F15-4*E15)&lt;=Summary!$B$4)),"Duplicate","Overpaid"))))</f>
        <v>Short Pay</v>
      </c>
    </row>
    <row r="16" spans="1:9" x14ac:dyDescent="0.25">
      <c r="A16" s="6">
        <v>15</v>
      </c>
      <c r="B16" s="6" t="s">
        <v>31</v>
      </c>
      <c r="C16" s="6" t="s">
        <v>49</v>
      </c>
      <c r="D16" s="18">
        <v>46202</v>
      </c>
      <c r="E16" s="19">
        <v>162.94999999999999</v>
      </c>
      <c r="F16" s="19">
        <f>SUMIFS(Payments!$E$2:$E$106,Payments!$B$2:$B$106,B16,Payments!$C$2:$C$106,C16)</f>
        <v>194.21</v>
      </c>
      <c r="G16" s="20">
        <f>COUNTIFS(Payments!$B$2:$B$106,B16,Payments!$C$2:$C$106,C16)</f>
        <v>1</v>
      </c>
      <c r="H16" s="19">
        <f t="shared" si="0"/>
        <v>-31.26</v>
      </c>
      <c r="I16" s="20" t="str">
        <f>IF(G16=0,"Unpaid",IF(ABS(H16)&lt;=Summary!$B$4,"Paid",IF(H16&gt;Summary!$B$4,"Short Pay",IF(AND(G16&gt;=2,OR(ABS(F16-2*E16)&lt;=Summary!$B$4,ABS(F16-3*E16)&lt;=Summary!$B$4,ABS(F16-4*E16)&lt;=Summary!$B$4)),"Duplicate","Overpaid"))))</f>
        <v>Overpaid</v>
      </c>
    </row>
    <row r="17" spans="1:9" x14ac:dyDescent="0.25">
      <c r="A17" s="6">
        <v>16</v>
      </c>
      <c r="B17" s="6" t="s">
        <v>40</v>
      </c>
      <c r="C17" s="6" t="s">
        <v>50</v>
      </c>
      <c r="D17" s="18">
        <v>46200</v>
      </c>
      <c r="E17" s="19">
        <v>1477.22</v>
      </c>
      <c r="F17" s="19">
        <f>SUMIFS(Payments!$E$2:$E$106,Payments!$B$2:$B$106,B17,Payments!$C$2:$C$106,C17)</f>
        <v>0</v>
      </c>
      <c r="G17" s="20">
        <f>COUNTIFS(Payments!$B$2:$B$106,B17,Payments!$C$2:$C$106,C17)</f>
        <v>0</v>
      </c>
      <c r="H17" s="19">
        <f t="shared" si="0"/>
        <v>1477.22</v>
      </c>
      <c r="I17" s="20" t="str">
        <f>IF(G17=0,"Unpaid",IF(ABS(H17)&lt;=Summary!$B$4,"Paid",IF(H17&gt;Summary!$B$4,"Short Pay",IF(AND(G17&gt;=2,OR(ABS(F17-2*E17)&lt;=Summary!$B$4,ABS(F17-3*E17)&lt;=Summary!$B$4,ABS(F17-4*E17)&lt;=Summary!$B$4)),"Duplicate","Overpaid"))))</f>
        <v>Unpaid</v>
      </c>
    </row>
    <row r="18" spans="1:9" x14ac:dyDescent="0.25">
      <c r="A18" s="6">
        <v>17</v>
      </c>
      <c r="B18" s="6" t="s">
        <v>40</v>
      </c>
      <c r="C18" s="6" t="s">
        <v>51</v>
      </c>
      <c r="D18" s="18">
        <v>46191</v>
      </c>
      <c r="E18" s="19">
        <v>1957.07</v>
      </c>
      <c r="F18" s="19">
        <f>SUMIFS(Payments!$E$2:$E$106,Payments!$B$2:$B$106,B18,Payments!$C$2:$C$106,C18)</f>
        <v>0</v>
      </c>
      <c r="G18" s="20">
        <f>COUNTIFS(Payments!$B$2:$B$106,B18,Payments!$C$2:$C$106,C18)</f>
        <v>0</v>
      </c>
      <c r="H18" s="19">
        <f t="shared" si="0"/>
        <v>1957.07</v>
      </c>
      <c r="I18" s="20" t="str">
        <f>IF(G18=0,"Unpaid",IF(ABS(H18)&lt;=Summary!$B$4,"Paid",IF(H18&gt;Summary!$B$4,"Short Pay",IF(AND(G18&gt;=2,OR(ABS(F18-2*E18)&lt;=Summary!$B$4,ABS(F18-3*E18)&lt;=Summary!$B$4,ABS(F18-4*E18)&lt;=Summary!$B$4)),"Duplicate","Overpaid"))))</f>
        <v>Unpaid</v>
      </c>
    </row>
    <row r="19" spans="1:9" x14ac:dyDescent="0.25">
      <c r="A19" s="6">
        <v>18</v>
      </c>
      <c r="B19" s="6" t="s">
        <v>31</v>
      </c>
      <c r="C19" s="6" t="s">
        <v>52</v>
      </c>
      <c r="D19" s="18">
        <v>46189</v>
      </c>
      <c r="E19" s="19">
        <v>300.36</v>
      </c>
      <c r="F19" s="19">
        <f>SUMIFS(Payments!$E$2:$E$106,Payments!$B$2:$B$106,B19,Payments!$C$2:$C$106,C19)</f>
        <v>300.36</v>
      </c>
      <c r="G19" s="20">
        <f>COUNTIFS(Payments!$B$2:$B$106,B19,Payments!$C$2:$C$106,C19)</f>
        <v>1</v>
      </c>
      <c r="H19" s="19">
        <f t="shared" si="0"/>
        <v>0</v>
      </c>
      <c r="I19" s="20" t="str">
        <f>IF(G19=0,"Unpaid",IF(ABS(H19)&lt;=Summary!$B$4,"Paid",IF(H19&gt;Summary!$B$4,"Short Pay",IF(AND(G19&gt;=2,OR(ABS(F19-2*E19)&lt;=Summary!$B$4,ABS(F19-3*E19)&lt;=Summary!$B$4,ABS(F19-4*E19)&lt;=Summary!$B$4)),"Duplicate","Overpaid"))))</f>
        <v>Paid</v>
      </c>
    </row>
    <row r="20" spans="1:9" x14ac:dyDescent="0.25">
      <c r="A20" s="6">
        <v>19</v>
      </c>
      <c r="B20" s="6" t="s">
        <v>31</v>
      </c>
      <c r="C20" s="6" t="s">
        <v>53</v>
      </c>
      <c r="D20" s="18">
        <v>46198</v>
      </c>
      <c r="E20" s="19">
        <v>1861.38</v>
      </c>
      <c r="F20" s="19">
        <f>SUMIFS(Payments!$E$2:$E$106,Payments!$B$2:$B$106,B20,Payments!$C$2:$C$106,C20)</f>
        <v>2294.12</v>
      </c>
      <c r="G20" s="20">
        <f>COUNTIFS(Payments!$B$2:$B$106,B20,Payments!$C$2:$C$106,C20)</f>
        <v>1</v>
      </c>
      <c r="H20" s="19">
        <f t="shared" si="0"/>
        <v>-432.74</v>
      </c>
      <c r="I20" s="20" t="str">
        <f>IF(G20=0,"Unpaid",IF(ABS(H20)&lt;=Summary!$B$4,"Paid",IF(H20&gt;Summary!$B$4,"Short Pay",IF(AND(G20&gt;=2,OR(ABS(F20-2*E20)&lt;=Summary!$B$4,ABS(F20-3*E20)&lt;=Summary!$B$4,ABS(F20-4*E20)&lt;=Summary!$B$4)),"Duplicate","Overpaid"))))</f>
        <v>Overpaid</v>
      </c>
    </row>
    <row r="21" spans="1:9" x14ac:dyDescent="0.25">
      <c r="A21" s="6">
        <v>20</v>
      </c>
      <c r="B21" s="6" t="s">
        <v>33</v>
      </c>
      <c r="C21" s="6" t="s">
        <v>54</v>
      </c>
      <c r="D21" s="18">
        <v>46195</v>
      </c>
      <c r="E21" s="19">
        <v>828.03</v>
      </c>
      <c r="F21" s="19">
        <f>SUMIFS(Payments!$E$2:$E$106,Payments!$B$2:$B$106,B21,Payments!$C$2:$C$106,C21)</f>
        <v>828.03</v>
      </c>
      <c r="G21" s="20">
        <f>COUNTIFS(Payments!$B$2:$B$106,B21,Payments!$C$2:$C$106,C21)</f>
        <v>1</v>
      </c>
      <c r="H21" s="19">
        <f t="shared" si="0"/>
        <v>0</v>
      </c>
      <c r="I21" s="20" t="str">
        <f>IF(G21=0,"Unpaid",IF(ABS(H21)&lt;=Summary!$B$4,"Paid",IF(H21&gt;Summary!$B$4,"Short Pay",IF(AND(G21&gt;=2,OR(ABS(F21-2*E21)&lt;=Summary!$B$4,ABS(F21-3*E21)&lt;=Summary!$B$4,ABS(F21-4*E21)&lt;=Summary!$B$4)),"Duplicate","Overpaid"))))</f>
        <v>Paid</v>
      </c>
    </row>
    <row r="22" spans="1:9" x14ac:dyDescent="0.25">
      <c r="A22" s="6">
        <v>21</v>
      </c>
      <c r="B22" s="6" t="s">
        <v>35</v>
      </c>
      <c r="C22" s="6" t="s">
        <v>55</v>
      </c>
      <c r="D22" s="18">
        <v>46188</v>
      </c>
      <c r="E22" s="19">
        <v>1804.25</v>
      </c>
      <c r="F22" s="19">
        <f>SUMIFS(Payments!$E$2:$E$106,Payments!$B$2:$B$106,B22,Payments!$C$2:$C$106,C22)</f>
        <v>1804.25</v>
      </c>
      <c r="G22" s="20">
        <f>COUNTIFS(Payments!$B$2:$B$106,B22,Payments!$C$2:$C$106,C22)</f>
        <v>1</v>
      </c>
      <c r="H22" s="19">
        <f t="shared" si="0"/>
        <v>0</v>
      </c>
      <c r="I22" s="20" t="str">
        <f>IF(G22=0,"Unpaid",IF(ABS(H22)&lt;=Summary!$B$4,"Paid",IF(H22&gt;Summary!$B$4,"Short Pay",IF(AND(G22&gt;=2,OR(ABS(F22-2*E22)&lt;=Summary!$B$4,ABS(F22-3*E22)&lt;=Summary!$B$4,ABS(F22-4*E22)&lt;=Summary!$B$4)),"Duplicate","Overpaid"))))</f>
        <v>Paid</v>
      </c>
    </row>
    <row r="23" spans="1:9" x14ac:dyDescent="0.25">
      <c r="A23" s="6">
        <v>22</v>
      </c>
      <c r="B23" s="6" t="s">
        <v>31</v>
      </c>
      <c r="C23" s="6" t="s">
        <v>56</v>
      </c>
      <c r="D23" s="18">
        <v>46184</v>
      </c>
      <c r="E23" s="19">
        <v>488.16</v>
      </c>
      <c r="F23" s="19">
        <f>SUMIFS(Payments!$E$2:$E$106,Payments!$B$2:$B$106,B23,Payments!$C$2:$C$106,C23)</f>
        <v>488.16</v>
      </c>
      <c r="G23" s="20">
        <f>COUNTIFS(Payments!$B$2:$B$106,B23,Payments!$C$2:$C$106,C23)</f>
        <v>1</v>
      </c>
      <c r="H23" s="19">
        <f t="shared" si="0"/>
        <v>0</v>
      </c>
      <c r="I23" s="20" t="str">
        <f>IF(G23=0,"Unpaid",IF(ABS(H23)&lt;=Summary!$B$4,"Paid",IF(H23&gt;Summary!$B$4,"Short Pay",IF(AND(G23&gt;=2,OR(ABS(F23-2*E23)&lt;=Summary!$B$4,ABS(F23-3*E23)&lt;=Summary!$B$4,ABS(F23-4*E23)&lt;=Summary!$B$4)),"Duplicate","Overpaid"))))</f>
        <v>Paid</v>
      </c>
    </row>
    <row r="24" spans="1:9" x14ac:dyDescent="0.25">
      <c r="A24" s="6">
        <v>23</v>
      </c>
      <c r="B24" s="6" t="s">
        <v>31</v>
      </c>
      <c r="C24" s="6" t="s">
        <v>57</v>
      </c>
      <c r="D24" s="18">
        <v>46174</v>
      </c>
      <c r="E24" s="19">
        <v>1197.46</v>
      </c>
      <c r="F24" s="19">
        <f>SUMIFS(Payments!$E$2:$E$106,Payments!$B$2:$B$106,B24,Payments!$C$2:$C$106,C24)</f>
        <v>1197.46</v>
      </c>
      <c r="G24" s="20">
        <f>COUNTIFS(Payments!$B$2:$B$106,B24,Payments!$C$2:$C$106,C24)</f>
        <v>1</v>
      </c>
      <c r="H24" s="19">
        <f t="shared" si="0"/>
        <v>0</v>
      </c>
      <c r="I24" s="20" t="str">
        <f>IF(G24=0,"Unpaid",IF(ABS(H24)&lt;=Summary!$B$4,"Paid",IF(H24&gt;Summary!$B$4,"Short Pay",IF(AND(G24&gt;=2,OR(ABS(F24-2*E24)&lt;=Summary!$B$4,ABS(F24-3*E24)&lt;=Summary!$B$4,ABS(F24-4*E24)&lt;=Summary!$B$4)),"Duplicate","Overpaid"))))</f>
        <v>Paid</v>
      </c>
    </row>
    <row r="25" spans="1:9" x14ac:dyDescent="0.25">
      <c r="A25" s="6">
        <v>24</v>
      </c>
      <c r="B25" s="6" t="s">
        <v>40</v>
      </c>
      <c r="C25" s="6" t="s">
        <v>58</v>
      </c>
      <c r="D25" s="18">
        <v>46202</v>
      </c>
      <c r="E25" s="19">
        <v>496.44</v>
      </c>
      <c r="F25" s="19">
        <f>SUMIFS(Payments!$E$2:$E$106,Payments!$B$2:$B$106,B25,Payments!$C$2:$C$106,C25)</f>
        <v>496.44</v>
      </c>
      <c r="G25" s="20">
        <f>COUNTIFS(Payments!$B$2:$B$106,B25,Payments!$C$2:$C$106,C25)</f>
        <v>1</v>
      </c>
      <c r="H25" s="19">
        <f t="shared" si="0"/>
        <v>0</v>
      </c>
      <c r="I25" s="20" t="str">
        <f>IF(G25=0,"Unpaid",IF(ABS(H25)&lt;=Summary!$B$4,"Paid",IF(H25&gt;Summary!$B$4,"Short Pay",IF(AND(G25&gt;=2,OR(ABS(F25-2*E25)&lt;=Summary!$B$4,ABS(F25-3*E25)&lt;=Summary!$B$4,ABS(F25-4*E25)&lt;=Summary!$B$4)),"Duplicate","Overpaid"))))</f>
        <v>Paid</v>
      </c>
    </row>
    <row r="26" spans="1:9" x14ac:dyDescent="0.25">
      <c r="A26" s="6">
        <v>25</v>
      </c>
      <c r="B26" s="6" t="s">
        <v>31</v>
      </c>
      <c r="C26" s="6" t="s">
        <v>59</v>
      </c>
      <c r="D26" s="18">
        <v>46189</v>
      </c>
      <c r="E26" s="19">
        <v>593.03</v>
      </c>
      <c r="F26" s="19">
        <f>SUMIFS(Payments!$E$2:$E$106,Payments!$B$2:$B$106,B26,Payments!$C$2:$C$106,C26)</f>
        <v>1186.06</v>
      </c>
      <c r="G26" s="20">
        <f>COUNTIFS(Payments!$B$2:$B$106,B26,Payments!$C$2:$C$106,C26)</f>
        <v>2</v>
      </c>
      <c r="H26" s="19">
        <f t="shared" si="0"/>
        <v>-593.03</v>
      </c>
      <c r="I26" s="20" t="str">
        <f>IF(G26=0,"Unpaid",IF(ABS(H26)&lt;=Summary!$B$4,"Paid",IF(H26&gt;Summary!$B$4,"Short Pay",IF(AND(G26&gt;=2,OR(ABS(F26-2*E26)&lt;=Summary!$B$4,ABS(F26-3*E26)&lt;=Summary!$B$4,ABS(F26-4*E26)&lt;=Summary!$B$4)),"Duplicate","Overpaid"))))</f>
        <v>Duplicate</v>
      </c>
    </row>
    <row r="27" spans="1:9" x14ac:dyDescent="0.25">
      <c r="A27" s="6">
        <v>26</v>
      </c>
      <c r="B27" s="6" t="s">
        <v>35</v>
      </c>
      <c r="C27" s="6" t="s">
        <v>60</v>
      </c>
      <c r="D27" s="18">
        <v>46189</v>
      </c>
      <c r="E27" s="19">
        <v>523.84</v>
      </c>
      <c r="F27" s="19">
        <f>SUMIFS(Payments!$E$2:$E$106,Payments!$B$2:$B$106,B27,Payments!$C$2:$C$106,C27)</f>
        <v>0</v>
      </c>
      <c r="G27" s="20">
        <f>COUNTIFS(Payments!$B$2:$B$106,B27,Payments!$C$2:$C$106,C27)</f>
        <v>0</v>
      </c>
      <c r="H27" s="19">
        <f t="shared" si="0"/>
        <v>523.84</v>
      </c>
      <c r="I27" s="20" t="str">
        <f>IF(G27=0,"Unpaid",IF(ABS(H27)&lt;=Summary!$B$4,"Paid",IF(H27&gt;Summary!$B$4,"Short Pay",IF(AND(G27&gt;=2,OR(ABS(F27-2*E27)&lt;=Summary!$B$4,ABS(F27-3*E27)&lt;=Summary!$B$4,ABS(F27-4*E27)&lt;=Summary!$B$4)),"Duplicate","Overpaid"))))</f>
        <v>Unpaid</v>
      </c>
    </row>
    <row r="28" spans="1:9" x14ac:dyDescent="0.25">
      <c r="A28" s="6">
        <v>27</v>
      </c>
      <c r="B28" s="6" t="s">
        <v>35</v>
      </c>
      <c r="C28" s="6" t="s">
        <v>61</v>
      </c>
      <c r="D28" s="18">
        <v>46177</v>
      </c>
      <c r="E28" s="19">
        <v>421.3</v>
      </c>
      <c r="F28" s="19">
        <f>SUMIFS(Payments!$E$2:$E$106,Payments!$B$2:$B$106,B28,Payments!$C$2:$C$106,C28)</f>
        <v>842.6</v>
      </c>
      <c r="G28" s="20">
        <f>COUNTIFS(Payments!$B$2:$B$106,B28,Payments!$C$2:$C$106,C28)</f>
        <v>2</v>
      </c>
      <c r="H28" s="19">
        <f t="shared" si="0"/>
        <v>-421.3</v>
      </c>
      <c r="I28" s="20" t="str">
        <f>IF(G28=0,"Unpaid",IF(ABS(H28)&lt;=Summary!$B$4,"Paid",IF(H28&gt;Summary!$B$4,"Short Pay",IF(AND(G28&gt;=2,OR(ABS(F28-2*E28)&lt;=Summary!$B$4,ABS(F28-3*E28)&lt;=Summary!$B$4,ABS(F28-4*E28)&lt;=Summary!$B$4)),"Duplicate","Overpaid"))))</f>
        <v>Duplicate</v>
      </c>
    </row>
    <row r="29" spans="1:9" x14ac:dyDescent="0.25">
      <c r="A29" s="6">
        <v>28</v>
      </c>
      <c r="B29" s="6" t="s">
        <v>35</v>
      </c>
      <c r="C29" s="6" t="s">
        <v>62</v>
      </c>
      <c r="D29" s="18">
        <v>46201</v>
      </c>
      <c r="E29" s="19">
        <v>851.65</v>
      </c>
      <c r="F29" s="19">
        <f>SUMIFS(Payments!$E$2:$E$106,Payments!$B$2:$B$106,B29,Payments!$C$2:$C$106,C29)</f>
        <v>851.65</v>
      </c>
      <c r="G29" s="20">
        <f>COUNTIFS(Payments!$B$2:$B$106,B29,Payments!$C$2:$C$106,C29)</f>
        <v>1</v>
      </c>
      <c r="H29" s="19">
        <f t="shared" si="0"/>
        <v>0</v>
      </c>
      <c r="I29" s="20" t="str">
        <f>IF(G29=0,"Unpaid",IF(ABS(H29)&lt;=Summary!$B$4,"Paid",IF(H29&gt;Summary!$B$4,"Short Pay",IF(AND(G29&gt;=2,OR(ABS(F29-2*E29)&lt;=Summary!$B$4,ABS(F29-3*E29)&lt;=Summary!$B$4,ABS(F29-4*E29)&lt;=Summary!$B$4)),"Duplicate","Overpaid"))))</f>
        <v>Paid</v>
      </c>
    </row>
    <row r="30" spans="1:9" x14ac:dyDescent="0.25">
      <c r="A30" s="6">
        <v>29</v>
      </c>
      <c r="B30" s="6" t="s">
        <v>40</v>
      </c>
      <c r="C30" s="6" t="s">
        <v>63</v>
      </c>
      <c r="D30" s="18">
        <v>46197</v>
      </c>
      <c r="E30" s="19">
        <v>168.19</v>
      </c>
      <c r="F30" s="19">
        <f>SUMIFS(Payments!$E$2:$E$106,Payments!$B$2:$B$106,B30,Payments!$C$2:$C$106,C30)</f>
        <v>336.38</v>
      </c>
      <c r="G30" s="20">
        <f>COUNTIFS(Payments!$B$2:$B$106,B30,Payments!$C$2:$C$106,C30)</f>
        <v>2</v>
      </c>
      <c r="H30" s="19">
        <f t="shared" si="0"/>
        <v>-168.19</v>
      </c>
      <c r="I30" s="20" t="str">
        <f>IF(G30=0,"Unpaid",IF(ABS(H30)&lt;=Summary!$B$4,"Paid",IF(H30&gt;Summary!$B$4,"Short Pay",IF(AND(G30&gt;=2,OR(ABS(F30-2*E30)&lt;=Summary!$B$4,ABS(F30-3*E30)&lt;=Summary!$B$4,ABS(F30-4*E30)&lt;=Summary!$B$4)),"Duplicate","Overpaid"))))</f>
        <v>Duplicate</v>
      </c>
    </row>
    <row r="31" spans="1:9" x14ac:dyDescent="0.25">
      <c r="A31" s="6">
        <v>30</v>
      </c>
      <c r="B31" s="6" t="s">
        <v>31</v>
      </c>
      <c r="C31" s="6" t="s">
        <v>64</v>
      </c>
      <c r="D31" s="18">
        <v>46191</v>
      </c>
      <c r="E31" s="19">
        <v>423.6</v>
      </c>
      <c r="F31" s="19">
        <f>SUMIFS(Payments!$E$2:$E$106,Payments!$B$2:$B$106,B31,Payments!$C$2:$C$106,C31)</f>
        <v>423.6</v>
      </c>
      <c r="G31" s="20">
        <f>COUNTIFS(Payments!$B$2:$B$106,B31,Payments!$C$2:$C$106,C31)</f>
        <v>1</v>
      </c>
      <c r="H31" s="19">
        <f t="shared" si="0"/>
        <v>0</v>
      </c>
      <c r="I31" s="20" t="str">
        <f>IF(G31=0,"Unpaid",IF(ABS(H31)&lt;=Summary!$B$4,"Paid",IF(H31&gt;Summary!$B$4,"Short Pay",IF(AND(G31&gt;=2,OR(ABS(F31-2*E31)&lt;=Summary!$B$4,ABS(F31-3*E31)&lt;=Summary!$B$4,ABS(F31-4*E31)&lt;=Summary!$B$4)),"Duplicate","Overpaid"))))</f>
        <v>Paid</v>
      </c>
    </row>
    <row r="32" spans="1:9" x14ac:dyDescent="0.25">
      <c r="A32" s="6">
        <v>31</v>
      </c>
      <c r="B32" s="6" t="s">
        <v>31</v>
      </c>
      <c r="C32" s="6" t="s">
        <v>65</v>
      </c>
      <c r="D32" s="18">
        <v>46182</v>
      </c>
      <c r="E32" s="19">
        <v>872.67</v>
      </c>
      <c r="F32" s="19">
        <f>SUMIFS(Payments!$E$2:$E$106,Payments!$B$2:$B$106,B32,Payments!$C$2:$C$106,C32)</f>
        <v>872.67</v>
      </c>
      <c r="G32" s="20">
        <f>COUNTIFS(Payments!$B$2:$B$106,B32,Payments!$C$2:$C$106,C32)</f>
        <v>1</v>
      </c>
      <c r="H32" s="19">
        <f t="shared" si="0"/>
        <v>0</v>
      </c>
      <c r="I32" s="20" t="str">
        <f>IF(G32=0,"Unpaid",IF(ABS(H32)&lt;=Summary!$B$4,"Paid",IF(H32&gt;Summary!$B$4,"Short Pay",IF(AND(G32&gt;=2,OR(ABS(F32-2*E32)&lt;=Summary!$B$4,ABS(F32-3*E32)&lt;=Summary!$B$4,ABS(F32-4*E32)&lt;=Summary!$B$4)),"Duplicate","Overpaid"))))</f>
        <v>Paid</v>
      </c>
    </row>
    <row r="33" spans="1:9" x14ac:dyDescent="0.25">
      <c r="A33" s="6">
        <v>32</v>
      </c>
      <c r="B33" s="6" t="s">
        <v>31</v>
      </c>
      <c r="C33" s="6" t="s">
        <v>66</v>
      </c>
      <c r="D33" s="18">
        <v>46176</v>
      </c>
      <c r="E33" s="19">
        <v>1755.25</v>
      </c>
      <c r="F33" s="19">
        <f>SUMIFS(Payments!$E$2:$E$106,Payments!$B$2:$B$106,B33,Payments!$C$2:$C$106,C33)</f>
        <v>0</v>
      </c>
      <c r="G33" s="20">
        <f>COUNTIFS(Payments!$B$2:$B$106,B33,Payments!$C$2:$C$106,C33)</f>
        <v>0</v>
      </c>
      <c r="H33" s="19">
        <f t="shared" si="0"/>
        <v>1755.25</v>
      </c>
      <c r="I33" s="20" t="str">
        <f>IF(G33=0,"Unpaid",IF(ABS(H33)&lt;=Summary!$B$4,"Paid",IF(H33&gt;Summary!$B$4,"Short Pay",IF(AND(G33&gt;=2,OR(ABS(F33-2*E33)&lt;=Summary!$B$4,ABS(F33-3*E33)&lt;=Summary!$B$4,ABS(F33-4*E33)&lt;=Summary!$B$4)),"Duplicate","Overpaid"))))</f>
        <v>Unpaid</v>
      </c>
    </row>
    <row r="34" spans="1:9" x14ac:dyDescent="0.25">
      <c r="A34" s="6">
        <v>33</v>
      </c>
      <c r="B34" s="6" t="s">
        <v>35</v>
      </c>
      <c r="C34" s="6" t="s">
        <v>67</v>
      </c>
      <c r="D34" s="18">
        <v>46201</v>
      </c>
      <c r="E34" s="19">
        <v>1625.64</v>
      </c>
      <c r="F34" s="19">
        <f>SUMIFS(Payments!$E$2:$E$106,Payments!$B$2:$B$106,B34,Payments!$C$2:$C$106,C34)</f>
        <v>1170.67</v>
      </c>
      <c r="G34" s="20">
        <f>COUNTIFS(Payments!$B$2:$B$106,B34,Payments!$C$2:$C$106,C34)</f>
        <v>1</v>
      </c>
      <c r="H34" s="19">
        <f t="shared" ref="H34:H65" si="1">ROUND(E34-F34,2)</f>
        <v>454.97</v>
      </c>
      <c r="I34" s="20" t="str">
        <f>IF(G34=0,"Unpaid",IF(ABS(H34)&lt;=Summary!$B$4,"Paid",IF(H34&gt;Summary!$B$4,"Short Pay",IF(AND(G34&gt;=2,OR(ABS(F34-2*E34)&lt;=Summary!$B$4,ABS(F34-3*E34)&lt;=Summary!$B$4,ABS(F34-4*E34)&lt;=Summary!$B$4)),"Duplicate","Overpaid"))))</f>
        <v>Short Pay</v>
      </c>
    </row>
    <row r="35" spans="1:9" x14ac:dyDescent="0.25">
      <c r="A35" s="6">
        <v>34</v>
      </c>
      <c r="B35" s="6" t="s">
        <v>40</v>
      </c>
      <c r="C35" s="6" t="s">
        <v>68</v>
      </c>
      <c r="D35" s="18">
        <v>46203</v>
      </c>
      <c r="E35" s="19">
        <v>1939.54</v>
      </c>
      <c r="F35" s="19">
        <f>SUMIFS(Payments!$E$2:$E$106,Payments!$B$2:$B$106,B35,Payments!$C$2:$C$106,C35)</f>
        <v>1554.4</v>
      </c>
      <c r="G35" s="20">
        <f>COUNTIFS(Payments!$B$2:$B$106,B35,Payments!$C$2:$C$106,C35)</f>
        <v>1</v>
      </c>
      <c r="H35" s="19">
        <f t="shared" si="1"/>
        <v>385.14</v>
      </c>
      <c r="I35" s="20" t="str">
        <f>IF(G35=0,"Unpaid",IF(ABS(H35)&lt;=Summary!$B$4,"Paid",IF(H35&gt;Summary!$B$4,"Short Pay",IF(AND(G35&gt;=2,OR(ABS(F35-2*E35)&lt;=Summary!$B$4,ABS(F35-3*E35)&lt;=Summary!$B$4,ABS(F35-4*E35)&lt;=Summary!$B$4)),"Duplicate","Overpaid"))))</f>
        <v>Short Pay</v>
      </c>
    </row>
    <row r="36" spans="1:9" x14ac:dyDescent="0.25">
      <c r="A36" s="6">
        <v>35</v>
      </c>
      <c r="B36" s="6" t="s">
        <v>31</v>
      </c>
      <c r="C36" s="6" t="s">
        <v>69</v>
      </c>
      <c r="D36" s="18">
        <v>46189</v>
      </c>
      <c r="E36" s="19">
        <v>842.51</v>
      </c>
      <c r="F36" s="19">
        <f>SUMIFS(Payments!$E$2:$E$106,Payments!$B$2:$B$106,B36,Payments!$C$2:$C$106,C36)</f>
        <v>929.66</v>
      </c>
      <c r="G36" s="20">
        <f>COUNTIFS(Payments!$B$2:$B$106,B36,Payments!$C$2:$C$106,C36)</f>
        <v>1</v>
      </c>
      <c r="H36" s="19">
        <f t="shared" si="1"/>
        <v>-87.15</v>
      </c>
      <c r="I36" s="20" t="str">
        <f>IF(G36=0,"Unpaid",IF(ABS(H36)&lt;=Summary!$B$4,"Paid",IF(H36&gt;Summary!$B$4,"Short Pay",IF(AND(G36&gt;=2,OR(ABS(F36-2*E36)&lt;=Summary!$B$4,ABS(F36-3*E36)&lt;=Summary!$B$4,ABS(F36-4*E36)&lt;=Summary!$B$4)),"Duplicate","Overpaid"))))</f>
        <v>Overpaid</v>
      </c>
    </row>
    <row r="37" spans="1:9" x14ac:dyDescent="0.25">
      <c r="A37" s="6">
        <v>36</v>
      </c>
      <c r="B37" s="6" t="s">
        <v>40</v>
      </c>
      <c r="C37" s="6" t="s">
        <v>70</v>
      </c>
      <c r="D37" s="18">
        <v>46174</v>
      </c>
      <c r="E37" s="19">
        <v>371.04</v>
      </c>
      <c r="F37" s="19">
        <f>SUMIFS(Payments!$E$2:$E$106,Payments!$B$2:$B$106,B37,Payments!$C$2:$C$106,C37)</f>
        <v>0</v>
      </c>
      <c r="G37" s="20">
        <f>COUNTIFS(Payments!$B$2:$B$106,B37,Payments!$C$2:$C$106,C37)</f>
        <v>0</v>
      </c>
      <c r="H37" s="19">
        <f t="shared" si="1"/>
        <v>371.04</v>
      </c>
      <c r="I37" s="20" t="str">
        <f>IF(G37=0,"Unpaid",IF(ABS(H37)&lt;=Summary!$B$4,"Paid",IF(H37&gt;Summary!$B$4,"Short Pay",IF(AND(G37&gt;=2,OR(ABS(F37-2*E37)&lt;=Summary!$B$4,ABS(F37-3*E37)&lt;=Summary!$B$4,ABS(F37-4*E37)&lt;=Summary!$B$4)),"Duplicate","Overpaid"))))</f>
        <v>Unpaid</v>
      </c>
    </row>
    <row r="38" spans="1:9" x14ac:dyDescent="0.25">
      <c r="A38" s="6">
        <v>37</v>
      </c>
      <c r="B38" s="6" t="s">
        <v>35</v>
      </c>
      <c r="C38" s="6" t="s">
        <v>71</v>
      </c>
      <c r="D38" s="18">
        <v>46199</v>
      </c>
      <c r="E38" s="19">
        <v>567.15</v>
      </c>
      <c r="F38" s="19">
        <f>SUMIFS(Payments!$E$2:$E$106,Payments!$B$2:$B$106,B38,Payments!$C$2:$C$106,C38)</f>
        <v>567.15</v>
      </c>
      <c r="G38" s="20">
        <f>COUNTIFS(Payments!$B$2:$B$106,B38,Payments!$C$2:$C$106,C38)</f>
        <v>1</v>
      </c>
      <c r="H38" s="19">
        <f t="shared" si="1"/>
        <v>0</v>
      </c>
      <c r="I38" s="20" t="str">
        <f>IF(G38=0,"Unpaid",IF(ABS(H38)&lt;=Summary!$B$4,"Paid",IF(H38&gt;Summary!$B$4,"Short Pay",IF(AND(G38&gt;=2,OR(ABS(F38-2*E38)&lt;=Summary!$B$4,ABS(F38-3*E38)&lt;=Summary!$B$4,ABS(F38-4*E38)&lt;=Summary!$B$4)),"Duplicate","Overpaid"))))</f>
        <v>Paid</v>
      </c>
    </row>
    <row r="39" spans="1:9" x14ac:dyDescent="0.25">
      <c r="A39" s="6">
        <v>38</v>
      </c>
      <c r="B39" s="6" t="s">
        <v>31</v>
      </c>
      <c r="C39" s="6" t="s">
        <v>72</v>
      </c>
      <c r="D39" s="18">
        <v>46180</v>
      </c>
      <c r="E39" s="19">
        <v>420.3</v>
      </c>
      <c r="F39" s="19">
        <f>SUMIFS(Payments!$E$2:$E$106,Payments!$B$2:$B$106,B39,Payments!$C$2:$C$106,C39)</f>
        <v>0</v>
      </c>
      <c r="G39" s="20">
        <f>COUNTIFS(Payments!$B$2:$B$106,B39,Payments!$C$2:$C$106,C39)</f>
        <v>0</v>
      </c>
      <c r="H39" s="19">
        <f t="shared" si="1"/>
        <v>420.3</v>
      </c>
      <c r="I39" s="20" t="str">
        <f>IF(G39=0,"Unpaid",IF(ABS(H39)&lt;=Summary!$B$4,"Paid",IF(H39&gt;Summary!$B$4,"Short Pay",IF(AND(G39&gt;=2,OR(ABS(F39-2*E39)&lt;=Summary!$B$4,ABS(F39-3*E39)&lt;=Summary!$B$4,ABS(F39-4*E39)&lt;=Summary!$B$4)),"Duplicate","Overpaid"))))</f>
        <v>Unpaid</v>
      </c>
    </row>
    <row r="40" spans="1:9" x14ac:dyDescent="0.25">
      <c r="A40" s="6">
        <v>39</v>
      </c>
      <c r="B40" s="6" t="s">
        <v>40</v>
      </c>
      <c r="C40" s="6" t="s">
        <v>73</v>
      </c>
      <c r="D40" s="18">
        <v>46191</v>
      </c>
      <c r="E40" s="19">
        <v>1179.4000000000001</v>
      </c>
      <c r="F40" s="19">
        <f>SUMIFS(Payments!$E$2:$E$106,Payments!$B$2:$B$106,B40,Payments!$C$2:$C$106,C40)</f>
        <v>2358.8000000000002</v>
      </c>
      <c r="G40" s="20">
        <f>COUNTIFS(Payments!$B$2:$B$106,B40,Payments!$C$2:$C$106,C40)</f>
        <v>2</v>
      </c>
      <c r="H40" s="19">
        <f t="shared" si="1"/>
        <v>-1179.4000000000001</v>
      </c>
      <c r="I40" s="20" t="str">
        <f>IF(G40=0,"Unpaid",IF(ABS(H40)&lt;=Summary!$B$4,"Paid",IF(H40&gt;Summary!$B$4,"Short Pay",IF(AND(G40&gt;=2,OR(ABS(F40-2*E40)&lt;=Summary!$B$4,ABS(F40-3*E40)&lt;=Summary!$B$4,ABS(F40-4*E40)&lt;=Summary!$B$4)),"Duplicate","Overpaid"))))</f>
        <v>Duplicate</v>
      </c>
    </row>
    <row r="41" spans="1:9" x14ac:dyDescent="0.25">
      <c r="A41" s="6">
        <v>40</v>
      </c>
      <c r="B41" s="6" t="s">
        <v>40</v>
      </c>
      <c r="C41" s="6" t="s">
        <v>74</v>
      </c>
      <c r="D41" s="18">
        <v>46189</v>
      </c>
      <c r="E41" s="19">
        <v>147.78</v>
      </c>
      <c r="F41" s="19">
        <f>SUMIFS(Payments!$E$2:$E$106,Payments!$B$2:$B$106,B41,Payments!$C$2:$C$106,C41)</f>
        <v>147.78</v>
      </c>
      <c r="G41" s="20">
        <f>COUNTIFS(Payments!$B$2:$B$106,B41,Payments!$C$2:$C$106,C41)</f>
        <v>1</v>
      </c>
      <c r="H41" s="19">
        <f t="shared" si="1"/>
        <v>0</v>
      </c>
      <c r="I41" s="20" t="str">
        <f>IF(G41=0,"Unpaid",IF(ABS(H41)&lt;=Summary!$B$4,"Paid",IF(H41&gt;Summary!$B$4,"Short Pay",IF(AND(G41&gt;=2,OR(ABS(F41-2*E41)&lt;=Summary!$B$4,ABS(F41-3*E41)&lt;=Summary!$B$4,ABS(F41-4*E41)&lt;=Summary!$B$4)),"Duplicate","Overpaid"))))</f>
        <v>Paid</v>
      </c>
    </row>
    <row r="42" spans="1:9" x14ac:dyDescent="0.25">
      <c r="A42" s="6">
        <v>41</v>
      </c>
      <c r="B42" s="6" t="s">
        <v>40</v>
      </c>
      <c r="C42" s="6" t="s">
        <v>75</v>
      </c>
      <c r="D42" s="18">
        <v>46176</v>
      </c>
      <c r="E42" s="19">
        <v>1923.52</v>
      </c>
      <c r="F42" s="19">
        <f>SUMIFS(Payments!$E$2:$E$106,Payments!$B$2:$B$106,B42,Payments!$C$2:$C$106,C42)</f>
        <v>1923.52</v>
      </c>
      <c r="G42" s="20">
        <f>COUNTIFS(Payments!$B$2:$B$106,B42,Payments!$C$2:$C$106,C42)</f>
        <v>1</v>
      </c>
      <c r="H42" s="19">
        <f t="shared" si="1"/>
        <v>0</v>
      </c>
      <c r="I42" s="20" t="str">
        <f>IF(G42=0,"Unpaid",IF(ABS(H42)&lt;=Summary!$B$4,"Paid",IF(H42&gt;Summary!$B$4,"Short Pay",IF(AND(G42&gt;=2,OR(ABS(F42-2*E42)&lt;=Summary!$B$4,ABS(F42-3*E42)&lt;=Summary!$B$4,ABS(F42-4*E42)&lt;=Summary!$B$4)),"Duplicate","Overpaid"))))</f>
        <v>Paid</v>
      </c>
    </row>
    <row r="43" spans="1:9" x14ac:dyDescent="0.25">
      <c r="A43" s="6">
        <v>42</v>
      </c>
      <c r="B43" s="6" t="s">
        <v>40</v>
      </c>
      <c r="C43" s="6" t="s">
        <v>76</v>
      </c>
      <c r="D43" s="18">
        <v>46195</v>
      </c>
      <c r="E43" s="19">
        <v>1210.32</v>
      </c>
      <c r="F43" s="19">
        <f>SUMIFS(Payments!$E$2:$E$106,Payments!$B$2:$B$106,B43,Payments!$C$2:$C$106,C43)</f>
        <v>1210.32</v>
      </c>
      <c r="G43" s="20">
        <f>COUNTIFS(Payments!$B$2:$B$106,B43,Payments!$C$2:$C$106,C43)</f>
        <v>1</v>
      </c>
      <c r="H43" s="19">
        <f t="shared" si="1"/>
        <v>0</v>
      </c>
      <c r="I43" s="20" t="str">
        <f>IF(G43=0,"Unpaid",IF(ABS(H43)&lt;=Summary!$B$4,"Paid",IF(H43&gt;Summary!$B$4,"Short Pay",IF(AND(G43&gt;=2,OR(ABS(F43-2*E43)&lt;=Summary!$B$4,ABS(F43-3*E43)&lt;=Summary!$B$4,ABS(F43-4*E43)&lt;=Summary!$B$4)),"Duplicate","Overpaid"))))</f>
        <v>Paid</v>
      </c>
    </row>
    <row r="44" spans="1:9" x14ac:dyDescent="0.25">
      <c r="A44" s="6">
        <v>43</v>
      </c>
      <c r="B44" s="6" t="s">
        <v>35</v>
      </c>
      <c r="C44" s="6" t="s">
        <v>77</v>
      </c>
      <c r="D44" s="18">
        <v>46202</v>
      </c>
      <c r="E44" s="19">
        <v>283.77999999999997</v>
      </c>
      <c r="F44" s="19">
        <f>SUMIFS(Payments!$E$2:$E$106,Payments!$B$2:$B$106,B44,Payments!$C$2:$C$106,C44)</f>
        <v>283.77999999999997</v>
      </c>
      <c r="G44" s="20">
        <f>COUNTIFS(Payments!$B$2:$B$106,B44,Payments!$C$2:$C$106,C44)</f>
        <v>1</v>
      </c>
      <c r="H44" s="19">
        <f t="shared" si="1"/>
        <v>0</v>
      </c>
      <c r="I44" s="20" t="str">
        <f>IF(G44=0,"Unpaid",IF(ABS(H44)&lt;=Summary!$B$4,"Paid",IF(H44&gt;Summary!$B$4,"Short Pay",IF(AND(G44&gt;=2,OR(ABS(F44-2*E44)&lt;=Summary!$B$4,ABS(F44-3*E44)&lt;=Summary!$B$4,ABS(F44-4*E44)&lt;=Summary!$B$4)),"Duplicate","Overpaid"))))</f>
        <v>Paid</v>
      </c>
    </row>
    <row r="45" spans="1:9" x14ac:dyDescent="0.25">
      <c r="A45" s="6">
        <v>44</v>
      </c>
      <c r="B45" s="6" t="s">
        <v>40</v>
      </c>
      <c r="C45" s="6" t="s">
        <v>78</v>
      </c>
      <c r="D45" s="18">
        <v>46187</v>
      </c>
      <c r="E45" s="19">
        <v>1257.79</v>
      </c>
      <c r="F45" s="19">
        <f>SUMIFS(Payments!$E$2:$E$106,Payments!$B$2:$B$106,B45,Payments!$C$2:$C$106,C45)</f>
        <v>0</v>
      </c>
      <c r="G45" s="20">
        <f>COUNTIFS(Payments!$B$2:$B$106,B45,Payments!$C$2:$C$106,C45)</f>
        <v>0</v>
      </c>
      <c r="H45" s="19">
        <f t="shared" si="1"/>
        <v>1257.79</v>
      </c>
      <c r="I45" s="20" t="str">
        <f>IF(G45=0,"Unpaid",IF(ABS(H45)&lt;=Summary!$B$4,"Paid",IF(H45&gt;Summary!$B$4,"Short Pay",IF(AND(G45&gt;=2,OR(ABS(F45-2*E45)&lt;=Summary!$B$4,ABS(F45-3*E45)&lt;=Summary!$B$4,ABS(F45-4*E45)&lt;=Summary!$B$4)),"Duplicate","Overpaid"))))</f>
        <v>Unpaid</v>
      </c>
    </row>
    <row r="46" spans="1:9" x14ac:dyDescent="0.25">
      <c r="A46" s="6">
        <v>45</v>
      </c>
      <c r="B46" s="6" t="s">
        <v>33</v>
      </c>
      <c r="C46" s="6" t="s">
        <v>79</v>
      </c>
      <c r="D46" s="18">
        <v>46180</v>
      </c>
      <c r="E46" s="19">
        <v>1872.68</v>
      </c>
      <c r="F46" s="19">
        <f>SUMIFS(Payments!$E$2:$E$106,Payments!$B$2:$B$106,B46,Payments!$C$2:$C$106,C46)</f>
        <v>1872.68</v>
      </c>
      <c r="G46" s="20">
        <f>COUNTIFS(Payments!$B$2:$B$106,B46,Payments!$C$2:$C$106,C46)</f>
        <v>1</v>
      </c>
      <c r="H46" s="19">
        <f t="shared" si="1"/>
        <v>0</v>
      </c>
      <c r="I46" s="20" t="str">
        <f>IF(G46=0,"Unpaid",IF(ABS(H46)&lt;=Summary!$B$4,"Paid",IF(H46&gt;Summary!$B$4,"Short Pay",IF(AND(G46&gt;=2,OR(ABS(F46-2*E46)&lt;=Summary!$B$4,ABS(F46-3*E46)&lt;=Summary!$B$4,ABS(F46-4*E46)&lt;=Summary!$B$4)),"Duplicate","Overpaid"))))</f>
        <v>Paid</v>
      </c>
    </row>
    <row r="47" spans="1:9" x14ac:dyDescent="0.25">
      <c r="A47" s="6">
        <v>46</v>
      </c>
      <c r="B47" s="6" t="s">
        <v>31</v>
      </c>
      <c r="C47" s="6" t="s">
        <v>80</v>
      </c>
      <c r="D47" s="18">
        <v>46178</v>
      </c>
      <c r="E47" s="19">
        <v>567.95000000000005</v>
      </c>
      <c r="F47" s="19">
        <f>SUMIFS(Payments!$E$2:$E$106,Payments!$B$2:$B$106,B47,Payments!$C$2:$C$106,C47)</f>
        <v>436.57</v>
      </c>
      <c r="G47" s="20">
        <f>COUNTIFS(Payments!$B$2:$B$106,B47,Payments!$C$2:$C$106,C47)</f>
        <v>1</v>
      </c>
      <c r="H47" s="19">
        <f t="shared" si="1"/>
        <v>131.38</v>
      </c>
      <c r="I47" s="20" t="str">
        <f>IF(G47=0,"Unpaid",IF(ABS(H47)&lt;=Summary!$B$4,"Paid",IF(H47&gt;Summary!$B$4,"Short Pay",IF(AND(G47&gt;=2,OR(ABS(F47-2*E47)&lt;=Summary!$B$4,ABS(F47-3*E47)&lt;=Summary!$B$4,ABS(F47-4*E47)&lt;=Summary!$B$4)),"Duplicate","Overpaid"))))</f>
        <v>Short Pay</v>
      </c>
    </row>
    <row r="48" spans="1:9" x14ac:dyDescent="0.25">
      <c r="A48" s="6">
        <v>47</v>
      </c>
      <c r="B48" s="6" t="s">
        <v>35</v>
      </c>
      <c r="C48" s="6" t="s">
        <v>81</v>
      </c>
      <c r="D48" s="18">
        <v>46198</v>
      </c>
      <c r="E48" s="19">
        <v>666.55</v>
      </c>
      <c r="F48" s="19">
        <f>SUMIFS(Payments!$E$2:$E$106,Payments!$B$2:$B$106,B48,Payments!$C$2:$C$106,C48)</f>
        <v>582.76</v>
      </c>
      <c r="G48" s="20">
        <f>COUNTIFS(Payments!$B$2:$B$106,B48,Payments!$C$2:$C$106,C48)</f>
        <v>1</v>
      </c>
      <c r="H48" s="19">
        <f t="shared" si="1"/>
        <v>83.79</v>
      </c>
      <c r="I48" s="20" t="str">
        <f>IF(G48=0,"Unpaid",IF(ABS(H48)&lt;=Summary!$B$4,"Paid",IF(H48&gt;Summary!$B$4,"Short Pay",IF(AND(G48&gt;=2,OR(ABS(F48-2*E48)&lt;=Summary!$B$4,ABS(F48-3*E48)&lt;=Summary!$B$4,ABS(F48-4*E48)&lt;=Summary!$B$4)),"Duplicate","Overpaid"))))</f>
        <v>Short Pay</v>
      </c>
    </row>
    <row r="49" spans="1:9" x14ac:dyDescent="0.25">
      <c r="A49" s="6">
        <v>48</v>
      </c>
      <c r="B49" s="6" t="s">
        <v>35</v>
      </c>
      <c r="C49" s="6" t="s">
        <v>82</v>
      </c>
      <c r="D49" s="18">
        <v>46192</v>
      </c>
      <c r="E49" s="19">
        <v>1261.26</v>
      </c>
      <c r="F49" s="19">
        <f>SUMIFS(Payments!$E$2:$E$106,Payments!$B$2:$B$106,B49,Payments!$C$2:$C$106,C49)</f>
        <v>1133.1600000000001</v>
      </c>
      <c r="G49" s="20">
        <f>COUNTIFS(Payments!$B$2:$B$106,B49,Payments!$C$2:$C$106,C49)</f>
        <v>1</v>
      </c>
      <c r="H49" s="19">
        <f t="shared" si="1"/>
        <v>128.1</v>
      </c>
      <c r="I49" s="20" t="str">
        <f>IF(G49=0,"Unpaid",IF(ABS(H49)&lt;=Summary!$B$4,"Paid",IF(H49&gt;Summary!$B$4,"Short Pay",IF(AND(G49&gt;=2,OR(ABS(F49-2*E49)&lt;=Summary!$B$4,ABS(F49-3*E49)&lt;=Summary!$B$4,ABS(F49-4*E49)&lt;=Summary!$B$4)),"Duplicate","Overpaid"))))</f>
        <v>Short Pay</v>
      </c>
    </row>
    <row r="50" spans="1:9" x14ac:dyDescent="0.25">
      <c r="A50" s="6">
        <v>49</v>
      </c>
      <c r="B50" s="6" t="s">
        <v>31</v>
      </c>
      <c r="C50" s="6" t="s">
        <v>83</v>
      </c>
      <c r="D50" s="18">
        <v>46178</v>
      </c>
      <c r="E50" s="19">
        <v>1036.48</v>
      </c>
      <c r="F50" s="19">
        <f>SUMIFS(Payments!$E$2:$E$106,Payments!$B$2:$B$106,B50,Payments!$C$2:$C$106,C50)</f>
        <v>1036.48</v>
      </c>
      <c r="G50" s="20">
        <f>COUNTIFS(Payments!$B$2:$B$106,B50,Payments!$C$2:$C$106,C50)</f>
        <v>1</v>
      </c>
      <c r="H50" s="19">
        <f t="shared" si="1"/>
        <v>0</v>
      </c>
      <c r="I50" s="20" t="str">
        <f>IF(G50=0,"Unpaid",IF(ABS(H50)&lt;=Summary!$B$4,"Paid",IF(H50&gt;Summary!$B$4,"Short Pay",IF(AND(G50&gt;=2,OR(ABS(F50-2*E50)&lt;=Summary!$B$4,ABS(F50-3*E50)&lt;=Summary!$B$4,ABS(F50-4*E50)&lt;=Summary!$B$4)),"Duplicate","Overpaid"))))</f>
        <v>Paid</v>
      </c>
    </row>
    <row r="51" spans="1:9" x14ac:dyDescent="0.25">
      <c r="A51" s="6">
        <v>50</v>
      </c>
      <c r="B51" s="6" t="s">
        <v>40</v>
      </c>
      <c r="C51" s="6" t="s">
        <v>84</v>
      </c>
      <c r="D51" s="18">
        <v>46185</v>
      </c>
      <c r="E51" s="19">
        <v>1764.58</v>
      </c>
      <c r="F51" s="19">
        <f>SUMIFS(Payments!$E$2:$E$106,Payments!$B$2:$B$106,B51,Payments!$C$2:$C$106,C51)</f>
        <v>1764.58</v>
      </c>
      <c r="G51" s="20">
        <f>COUNTIFS(Payments!$B$2:$B$106,B51,Payments!$C$2:$C$106,C51)</f>
        <v>1</v>
      </c>
      <c r="H51" s="19">
        <f t="shared" si="1"/>
        <v>0</v>
      </c>
      <c r="I51" s="20" t="str">
        <f>IF(G51=0,"Unpaid",IF(ABS(H51)&lt;=Summary!$B$4,"Paid",IF(H51&gt;Summary!$B$4,"Short Pay",IF(AND(G51&gt;=2,OR(ABS(F51-2*E51)&lt;=Summary!$B$4,ABS(F51-3*E51)&lt;=Summary!$B$4,ABS(F51-4*E51)&lt;=Summary!$B$4)),"Duplicate","Overpaid"))))</f>
        <v>Paid</v>
      </c>
    </row>
    <row r="52" spans="1:9" x14ac:dyDescent="0.25">
      <c r="A52" s="6">
        <v>51</v>
      </c>
      <c r="B52" s="6" t="s">
        <v>31</v>
      </c>
      <c r="C52" s="6" t="s">
        <v>85</v>
      </c>
      <c r="D52" s="18">
        <v>46191</v>
      </c>
      <c r="E52" s="19">
        <v>904.46</v>
      </c>
      <c r="F52" s="19">
        <f>SUMIFS(Payments!$E$2:$E$106,Payments!$B$2:$B$106,B52,Payments!$C$2:$C$106,C52)</f>
        <v>904.46</v>
      </c>
      <c r="G52" s="20">
        <f>COUNTIFS(Payments!$B$2:$B$106,B52,Payments!$C$2:$C$106,C52)</f>
        <v>1</v>
      </c>
      <c r="H52" s="19">
        <f t="shared" si="1"/>
        <v>0</v>
      </c>
      <c r="I52" s="20" t="str">
        <f>IF(G52=0,"Unpaid",IF(ABS(H52)&lt;=Summary!$B$4,"Paid",IF(H52&gt;Summary!$B$4,"Short Pay",IF(AND(G52&gt;=2,OR(ABS(F52-2*E52)&lt;=Summary!$B$4,ABS(F52-3*E52)&lt;=Summary!$B$4,ABS(F52-4*E52)&lt;=Summary!$B$4)),"Duplicate","Overpaid"))))</f>
        <v>Paid</v>
      </c>
    </row>
    <row r="53" spans="1:9" x14ac:dyDescent="0.25">
      <c r="A53" s="6">
        <v>52</v>
      </c>
      <c r="B53" s="6" t="s">
        <v>33</v>
      </c>
      <c r="C53" s="6" t="s">
        <v>86</v>
      </c>
      <c r="D53" s="18">
        <v>46177</v>
      </c>
      <c r="E53" s="19">
        <v>1866.92</v>
      </c>
      <c r="F53" s="19">
        <f>SUMIFS(Payments!$E$2:$E$106,Payments!$B$2:$B$106,B53,Payments!$C$2:$C$106,C53)</f>
        <v>0</v>
      </c>
      <c r="G53" s="20">
        <f>COUNTIFS(Payments!$B$2:$B$106,B53,Payments!$C$2:$C$106,C53)</f>
        <v>0</v>
      </c>
      <c r="H53" s="19">
        <f t="shared" si="1"/>
        <v>1866.92</v>
      </c>
      <c r="I53" s="20" t="str">
        <f>IF(G53=0,"Unpaid",IF(ABS(H53)&lt;=Summary!$B$4,"Paid",IF(H53&gt;Summary!$B$4,"Short Pay",IF(AND(G53&gt;=2,OR(ABS(F53-2*E53)&lt;=Summary!$B$4,ABS(F53-3*E53)&lt;=Summary!$B$4,ABS(F53-4*E53)&lt;=Summary!$B$4)),"Duplicate","Overpaid"))))</f>
        <v>Unpaid</v>
      </c>
    </row>
    <row r="54" spans="1:9" x14ac:dyDescent="0.25">
      <c r="A54" s="6">
        <v>53</v>
      </c>
      <c r="B54" s="6" t="s">
        <v>31</v>
      </c>
      <c r="C54" s="6" t="s">
        <v>87</v>
      </c>
      <c r="D54" s="18">
        <v>46202</v>
      </c>
      <c r="E54" s="19">
        <v>565.71</v>
      </c>
      <c r="F54" s="19">
        <f>SUMIFS(Payments!$E$2:$E$106,Payments!$B$2:$B$106,B54,Payments!$C$2:$C$106,C54)</f>
        <v>565.71</v>
      </c>
      <c r="G54" s="20">
        <f>COUNTIFS(Payments!$B$2:$B$106,B54,Payments!$C$2:$C$106,C54)</f>
        <v>1</v>
      </c>
      <c r="H54" s="19">
        <f t="shared" si="1"/>
        <v>0</v>
      </c>
      <c r="I54" s="20" t="str">
        <f>IF(G54=0,"Unpaid",IF(ABS(H54)&lt;=Summary!$B$4,"Paid",IF(H54&gt;Summary!$B$4,"Short Pay",IF(AND(G54&gt;=2,OR(ABS(F54-2*E54)&lt;=Summary!$B$4,ABS(F54-3*E54)&lt;=Summary!$B$4,ABS(F54-4*E54)&lt;=Summary!$B$4)),"Duplicate","Overpaid"))))</f>
        <v>Paid</v>
      </c>
    </row>
    <row r="55" spans="1:9" x14ac:dyDescent="0.25">
      <c r="A55" s="6">
        <v>54</v>
      </c>
      <c r="B55" s="6" t="s">
        <v>31</v>
      </c>
      <c r="C55" s="6" t="s">
        <v>88</v>
      </c>
      <c r="D55" s="18">
        <v>46193</v>
      </c>
      <c r="E55" s="19">
        <v>581.08000000000004</v>
      </c>
      <c r="F55" s="19">
        <f>SUMIFS(Payments!$E$2:$E$106,Payments!$B$2:$B$106,B55,Payments!$C$2:$C$106,C55)</f>
        <v>0</v>
      </c>
      <c r="G55" s="20">
        <f>COUNTIFS(Payments!$B$2:$B$106,B55,Payments!$C$2:$C$106,C55)</f>
        <v>0</v>
      </c>
      <c r="H55" s="19">
        <f t="shared" si="1"/>
        <v>581.08000000000004</v>
      </c>
      <c r="I55" s="20" t="str">
        <f>IF(G55=0,"Unpaid",IF(ABS(H55)&lt;=Summary!$B$4,"Paid",IF(H55&gt;Summary!$B$4,"Short Pay",IF(AND(G55&gt;=2,OR(ABS(F55-2*E55)&lt;=Summary!$B$4,ABS(F55-3*E55)&lt;=Summary!$B$4,ABS(F55-4*E55)&lt;=Summary!$B$4)),"Duplicate","Overpaid"))))</f>
        <v>Unpaid</v>
      </c>
    </row>
    <row r="56" spans="1:9" x14ac:dyDescent="0.25">
      <c r="A56" s="6">
        <v>55</v>
      </c>
      <c r="B56" s="6" t="s">
        <v>31</v>
      </c>
      <c r="C56" s="6" t="s">
        <v>89</v>
      </c>
      <c r="D56" s="18">
        <v>46180</v>
      </c>
      <c r="E56" s="19">
        <v>1449.34</v>
      </c>
      <c r="F56" s="19">
        <f>SUMIFS(Payments!$E$2:$E$106,Payments!$B$2:$B$106,B56,Payments!$C$2:$C$106,C56)</f>
        <v>1449.34</v>
      </c>
      <c r="G56" s="20">
        <f>COUNTIFS(Payments!$B$2:$B$106,B56,Payments!$C$2:$C$106,C56)</f>
        <v>1</v>
      </c>
      <c r="H56" s="19">
        <f t="shared" si="1"/>
        <v>0</v>
      </c>
      <c r="I56" s="20" t="str">
        <f>IF(G56=0,"Unpaid",IF(ABS(H56)&lt;=Summary!$B$4,"Paid",IF(H56&gt;Summary!$B$4,"Short Pay",IF(AND(G56&gt;=2,OR(ABS(F56-2*E56)&lt;=Summary!$B$4,ABS(F56-3*E56)&lt;=Summary!$B$4,ABS(F56-4*E56)&lt;=Summary!$B$4)),"Duplicate","Overpaid"))))</f>
        <v>Paid</v>
      </c>
    </row>
    <row r="57" spans="1:9" x14ac:dyDescent="0.25">
      <c r="A57" s="6">
        <v>56</v>
      </c>
      <c r="B57" s="6" t="s">
        <v>35</v>
      </c>
      <c r="C57" s="6" t="s">
        <v>90</v>
      </c>
      <c r="D57" s="18">
        <v>46203</v>
      </c>
      <c r="E57" s="19">
        <v>539.69000000000005</v>
      </c>
      <c r="F57" s="19">
        <f>SUMIFS(Payments!$E$2:$E$106,Payments!$B$2:$B$106,B57,Payments!$C$2:$C$106,C57)</f>
        <v>539.69000000000005</v>
      </c>
      <c r="G57" s="20">
        <f>COUNTIFS(Payments!$B$2:$B$106,B57,Payments!$C$2:$C$106,C57)</f>
        <v>1</v>
      </c>
      <c r="H57" s="19">
        <f t="shared" si="1"/>
        <v>0</v>
      </c>
      <c r="I57" s="20" t="str">
        <f>IF(G57=0,"Unpaid",IF(ABS(H57)&lt;=Summary!$B$4,"Paid",IF(H57&gt;Summary!$B$4,"Short Pay",IF(AND(G57&gt;=2,OR(ABS(F57-2*E57)&lt;=Summary!$B$4,ABS(F57-3*E57)&lt;=Summary!$B$4,ABS(F57-4*E57)&lt;=Summary!$B$4)),"Duplicate","Overpaid"))))</f>
        <v>Paid</v>
      </c>
    </row>
    <row r="58" spans="1:9" x14ac:dyDescent="0.25">
      <c r="A58" s="6">
        <v>57</v>
      </c>
      <c r="B58" s="6" t="s">
        <v>40</v>
      </c>
      <c r="C58" s="6" t="s">
        <v>91</v>
      </c>
      <c r="D58" s="18">
        <v>46200</v>
      </c>
      <c r="E58" s="19">
        <v>1286.8499999999999</v>
      </c>
      <c r="F58" s="19">
        <f>SUMIFS(Payments!$E$2:$E$106,Payments!$B$2:$B$106,B58,Payments!$C$2:$C$106,C58)</f>
        <v>785.84</v>
      </c>
      <c r="G58" s="20">
        <f>COUNTIFS(Payments!$B$2:$B$106,B58,Payments!$C$2:$C$106,C58)</f>
        <v>1</v>
      </c>
      <c r="H58" s="19">
        <f t="shared" si="1"/>
        <v>501.01</v>
      </c>
      <c r="I58" s="20" t="str">
        <f>IF(G58=0,"Unpaid",IF(ABS(H58)&lt;=Summary!$B$4,"Paid",IF(H58&gt;Summary!$B$4,"Short Pay",IF(AND(G58&gt;=2,OR(ABS(F58-2*E58)&lt;=Summary!$B$4,ABS(F58-3*E58)&lt;=Summary!$B$4,ABS(F58-4*E58)&lt;=Summary!$B$4)),"Duplicate","Overpaid"))))</f>
        <v>Short Pay</v>
      </c>
    </row>
    <row r="59" spans="1:9" x14ac:dyDescent="0.25">
      <c r="A59" s="6">
        <v>58</v>
      </c>
      <c r="B59" s="6" t="s">
        <v>33</v>
      </c>
      <c r="C59" s="6" t="s">
        <v>92</v>
      </c>
      <c r="D59" s="18">
        <v>46194</v>
      </c>
      <c r="E59" s="19">
        <v>1553.68</v>
      </c>
      <c r="F59" s="19">
        <f>SUMIFS(Payments!$E$2:$E$106,Payments!$B$2:$B$106,B59,Payments!$C$2:$C$106,C59)</f>
        <v>1385.76</v>
      </c>
      <c r="G59" s="20">
        <f>COUNTIFS(Payments!$B$2:$B$106,B59,Payments!$C$2:$C$106,C59)</f>
        <v>1</v>
      </c>
      <c r="H59" s="19">
        <f t="shared" si="1"/>
        <v>167.92</v>
      </c>
      <c r="I59" s="20" t="str">
        <f>IF(G59=0,"Unpaid",IF(ABS(H59)&lt;=Summary!$B$4,"Paid",IF(H59&gt;Summary!$B$4,"Short Pay",IF(AND(G59&gt;=2,OR(ABS(F59-2*E59)&lt;=Summary!$B$4,ABS(F59-3*E59)&lt;=Summary!$B$4,ABS(F59-4*E59)&lt;=Summary!$B$4)),"Duplicate","Overpaid"))))</f>
        <v>Short Pay</v>
      </c>
    </row>
    <row r="60" spans="1:9" x14ac:dyDescent="0.25">
      <c r="A60" s="6">
        <v>59</v>
      </c>
      <c r="B60" s="6" t="s">
        <v>35</v>
      </c>
      <c r="C60" s="6" t="s">
        <v>93</v>
      </c>
      <c r="D60" s="18">
        <v>46187</v>
      </c>
      <c r="E60" s="19">
        <v>1125.78</v>
      </c>
      <c r="F60" s="19">
        <f>SUMIFS(Payments!$E$2:$E$106,Payments!$B$2:$B$106,B60,Payments!$C$2:$C$106,C60)</f>
        <v>1125.78</v>
      </c>
      <c r="G60" s="20">
        <f>COUNTIFS(Payments!$B$2:$B$106,B60,Payments!$C$2:$C$106,C60)</f>
        <v>1</v>
      </c>
      <c r="H60" s="19">
        <f t="shared" si="1"/>
        <v>0</v>
      </c>
      <c r="I60" s="20" t="str">
        <f>IF(G60=0,"Unpaid",IF(ABS(H60)&lt;=Summary!$B$4,"Paid",IF(H60&gt;Summary!$B$4,"Short Pay",IF(AND(G60&gt;=2,OR(ABS(F60-2*E60)&lt;=Summary!$B$4,ABS(F60-3*E60)&lt;=Summary!$B$4,ABS(F60-4*E60)&lt;=Summary!$B$4)),"Duplicate","Overpaid"))))</f>
        <v>Paid</v>
      </c>
    </row>
    <row r="61" spans="1:9" x14ac:dyDescent="0.25">
      <c r="A61" s="6">
        <v>60</v>
      </c>
      <c r="B61" s="6" t="s">
        <v>40</v>
      </c>
      <c r="C61" s="6" t="s">
        <v>94</v>
      </c>
      <c r="D61" s="18">
        <v>46202</v>
      </c>
      <c r="E61" s="19">
        <v>196.73</v>
      </c>
      <c r="F61" s="19">
        <f>SUMIFS(Payments!$E$2:$E$106,Payments!$B$2:$B$106,B61,Payments!$C$2:$C$106,C61)</f>
        <v>152.74</v>
      </c>
      <c r="G61" s="20">
        <f>COUNTIFS(Payments!$B$2:$B$106,B61,Payments!$C$2:$C$106,C61)</f>
        <v>1</v>
      </c>
      <c r="H61" s="19">
        <f t="shared" si="1"/>
        <v>43.99</v>
      </c>
      <c r="I61" s="20" t="str">
        <f>IF(G61=0,"Unpaid",IF(ABS(H61)&lt;=Summary!$B$4,"Paid",IF(H61&gt;Summary!$B$4,"Short Pay",IF(AND(G61&gt;=2,OR(ABS(F61-2*E61)&lt;=Summary!$B$4,ABS(F61-3*E61)&lt;=Summary!$B$4,ABS(F61-4*E61)&lt;=Summary!$B$4)),"Duplicate","Overpaid"))))</f>
        <v>Short Pay</v>
      </c>
    </row>
    <row r="62" spans="1:9" x14ac:dyDescent="0.25">
      <c r="A62" s="6">
        <v>61</v>
      </c>
      <c r="B62" s="6" t="s">
        <v>40</v>
      </c>
      <c r="C62" s="6" t="s">
        <v>95</v>
      </c>
      <c r="D62" s="18">
        <v>46192</v>
      </c>
      <c r="E62" s="19">
        <v>1677.46</v>
      </c>
      <c r="F62" s="19">
        <f>SUMIFS(Payments!$E$2:$E$106,Payments!$B$2:$B$106,B62,Payments!$C$2:$C$106,C62)</f>
        <v>1677.46</v>
      </c>
      <c r="G62" s="20">
        <f>COUNTIFS(Payments!$B$2:$B$106,B62,Payments!$C$2:$C$106,C62)</f>
        <v>1</v>
      </c>
      <c r="H62" s="19">
        <f t="shared" si="1"/>
        <v>0</v>
      </c>
      <c r="I62" s="20" t="str">
        <f>IF(G62=0,"Unpaid",IF(ABS(H62)&lt;=Summary!$B$4,"Paid",IF(H62&gt;Summary!$B$4,"Short Pay",IF(AND(G62&gt;=2,OR(ABS(F62-2*E62)&lt;=Summary!$B$4,ABS(F62-3*E62)&lt;=Summary!$B$4,ABS(F62-4*E62)&lt;=Summary!$B$4)),"Duplicate","Overpaid"))))</f>
        <v>Paid</v>
      </c>
    </row>
    <row r="63" spans="1:9" x14ac:dyDescent="0.25">
      <c r="A63" s="6">
        <v>62</v>
      </c>
      <c r="B63" s="6" t="s">
        <v>35</v>
      </c>
      <c r="C63" s="6" t="s">
        <v>96</v>
      </c>
      <c r="D63" s="18">
        <v>46183</v>
      </c>
      <c r="E63" s="19">
        <v>298.52</v>
      </c>
      <c r="F63" s="19">
        <f>SUMIFS(Payments!$E$2:$E$106,Payments!$B$2:$B$106,B63,Payments!$C$2:$C$106,C63)</f>
        <v>298.52</v>
      </c>
      <c r="G63" s="20">
        <f>COUNTIFS(Payments!$B$2:$B$106,B63,Payments!$C$2:$C$106,C63)</f>
        <v>1</v>
      </c>
      <c r="H63" s="19">
        <f t="shared" si="1"/>
        <v>0</v>
      </c>
      <c r="I63" s="20" t="str">
        <f>IF(G63=0,"Unpaid",IF(ABS(H63)&lt;=Summary!$B$4,"Paid",IF(H63&gt;Summary!$B$4,"Short Pay",IF(AND(G63&gt;=2,OR(ABS(F63-2*E63)&lt;=Summary!$B$4,ABS(F63-3*E63)&lt;=Summary!$B$4,ABS(F63-4*E63)&lt;=Summary!$B$4)),"Duplicate","Overpaid"))))</f>
        <v>Paid</v>
      </c>
    </row>
    <row r="64" spans="1:9" x14ac:dyDescent="0.25">
      <c r="A64" s="6">
        <v>63</v>
      </c>
      <c r="B64" s="6" t="s">
        <v>40</v>
      </c>
      <c r="C64" s="6" t="s">
        <v>97</v>
      </c>
      <c r="D64" s="18">
        <v>46180</v>
      </c>
      <c r="E64" s="19">
        <v>1802.9</v>
      </c>
      <c r="F64" s="19">
        <f>SUMIFS(Payments!$E$2:$E$106,Payments!$B$2:$B$106,B64,Payments!$C$2:$C$106,C64)</f>
        <v>1802.9</v>
      </c>
      <c r="G64" s="20">
        <f>COUNTIFS(Payments!$B$2:$B$106,B64,Payments!$C$2:$C$106,C64)</f>
        <v>1</v>
      </c>
      <c r="H64" s="19">
        <f t="shared" si="1"/>
        <v>0</v>
      </c>
      <c r="I64" s="20" t="str">
        <f>IF(G64=0,"Unpaid",IF(ABS(H64)&lt;=Summary!$B$4,"Paid",IF(H64&gt;Summary!$B$4,"Short Pay",IF(AND(G64&gt;=2,OR(ABS(F64-2*E64)&lt;=Summary!$B$4,ABS(F64-3*E64)&lt;=Summary!$B$4,ABS(F64-4*E64)&lt;=Summary!$B$4)),"Duplicate","Overpaid"))))</f>
        <v>Paid</v>
      </c>
    </row>
    <row r="65" spans="1:9" x14ac:dyDescent="0.25">
      <c r="A65" s="6">
        <v>64</v>
      </c>
      <c r="B65" s="6" t="s">
        <v>40</v>
      </c>
      <c r="C65" s="6" t="s">
        <v>98</v>
      </c>
      <c r="D65" s="18">
        <v>46191</v>
      </c>
      <c r="E65" s="19">
        <v>739.67</v>
      </c>
      <c r="F65" s="19">
        <f>SUMIFS(Payments!$E$2:$E$106,Payments!$B$2:$B$106,B65,Payments!$C$2:$C$106,C65)</f>
        <v>631.41999999999996</v>
      </c>
      <c r="G65" s="20">
        <f>COUNTIFS(Payments!$B$2:$B$106,B65,Payments!$C$2:$C$106,C65)</f>
        <v>1</v>
      </c>
      <c r="H65" s="19">
        <f t="shared" si="1"/>
        <v>108.25</v>
      </c>
      <c r="I65" s="20" t="str">
        <f>IF(G65=0,"Unpaid",IF(ABS(H65)&lt;=Summary!$B$4,"Paid",IF(H65&gt;Summary!$B$4,"Short Pay",IF(AND(G65&gt;=2,OR(ABS(F65-2*E65)&lt;=Summary!$B$4,ABS(F65-3*E65)&lt;=Summary!$B$4,ABS(F65-4*E65)&lt;=Summary!$B$4)),"Duplicate","Overpaid"))))</f>
        <v>Short Pay</v>
      </c>
    </row>
    <row r="66" spans="1:9" x14ac:dyDescent="0.25">
      <c r="A66" s="6">
        <v>65</v>
      </c>
      <c r="B66" s="6" t="s">
        <v>31</v>
      </c>
      <c r="C66" s="6" t="s">
        <v>99</v>
      </c>
      <c r="D66" s="18">
        <v>46181</v>
      </c>
      <c r="E66" s="19">
        <v>1855.24</v>
      </c>
      <c r="F66" s="19">
        <f>SUMIFS(Payments!$E$2:$E$106,Payments!$B$2:$B$106,B66,Payments!$C$2:$C$106,C66)</f>
        <v>3710.48</v>
      </c>
      <c r="G66" s="20">
        <f>COUNTIFS(Payments!$B$2:$B$106,B66,Payments!$C$2:$C$106,C66)</f>
        <v>2</v>
      </c>
      <c r="H66" s="19">
        <f t="shared" ref="H66:H101" si="2">ROUND(E66-F66,2)</f>
        <v>-1855.24</v>
      </c>
      <c r="I66" s="20" t="str">
        <f>IF(G66=0,"Unpaid",IF(ABS(H66)&lt;=Summary!$B$4,"Paid",IF(H66&gt;Summary!$B$4,"Short Pay",IF(AND(G66&gt;=2,OR(ABS(F66-2*E66)&lt;=Summary!$B$4,ABS(F66-3*E66)&lt;=Summary!$B$4,ABS(F66-4*E66)&lt;=Summary!$B$4)),"Duplicate","Overpaid"))))</f>
        <v>Duplicate</v>
      </c>
    </row>
    <row r="67" spans="1:9" x14ac:dyDescent="0.25">
      <c r="A67" s="6">
        <v>66</v>
      </c>
      <c r="B67" s="6" t="s">
        <v>35</v>
      </c>
      <c r="C67" s="6" t="s">
        <v>100</v>
      </c>
      <c r="D67" s="18">
        <v>46197</v>
      </c>
      <c r="E67" s="19">
        <v>98.33</v>
      </c>
      <c r="F67" s="19">
        <f>SUMIFS(Payments!$E$2:$E$106,Payments!$B$2:$B$106,B67,Payments!$C$2:$C$106,C67)</f>
        <v>98.33</v>
      </c>
      <c r="G67" s="20">
        <f>COUNTIFS(Payments!$B$2:$B$106,B67,Payments!$C$2:$C$106,C67)</f>
        <v>1</v>
      </c>
      <c r="H67" s="19">
        <f t="shared" si="2"/>
        <v>0</v>
      </c>
      <c r="I67" s="20" t="str">
        <f>IF(G67=0,"Unpaid",IF(ABS(H67)&lt;=Summary!$B$4,"Paid",IF(H67&gt;Summary!$B$4,"Short Pay",IF(AND(G67&gt;=2,OR(ABS(F67-2*E67)&lt;=Summary!$B$4,ABS(F67-3*E67)&lt;=Summary!$B$4,ABS(F67-4*E67)&lt;=Summary!$B$4)),"Duplicate","Overpaid"))))</f>
        <v>Paid</v>
      </c>
    </row>
    <row r="68" spans="1:9" x14ac:dyDescent="0.25">
      <c r="A68" s="6">
        <v>67</v>
      </c>
      <c r="B68" s="6" t="s">
        <v>35</v>
      </c>
      <c r="C68" s="6" t="s">
        <v>101</v>
      </c>
      <c r="D68" s="18">
        <v>46201</v>
      </c>
      <c r="E68" s="19">
        <v>1614.36</v>
      </c>
      <c r="F68" s="19">
        <f>SUMIFS(Payments!$E$2:$E$106,Payments!$B$2:$B$106,B68,Payments!$C$2:$C$106,C68)</f>
        <v>1991.74</v>
      </c>
      <c r="G68" s="20">
        <f>COUNTIFS(Payments!$B$2:$B$106,B68,Payments!$C$2:$C$106,C68)</f>
        <v>1</v>
      </c>
      <c r="H68" s="19">
        <f t="shared" si="2"/>
        <v>-377.38</v>
      </c>
      <c r="I68" s="20" t="str">
        <f>IF(G68=0,"Unpaid",IF(ABS(H68)&lt;=Summary!$B$4,"Paid",IF(H68&gt;Summary!$B$4,"Short Pay",IF(AND(G68&gt;=2,OR(ABS(F68-2*E68)&lt;=Summary!$B$4,ABS(F68-3*E68)&lt;=Summary!$B$4,ABS(F68-4*E68)&lt;=Summary!$B$4)),"Duplicate","Overpaid"))))</f>
        <v>Overpaid</v>
      </c>
    </row>
    <row r="69" spans="1:9" x14ac:dyDescent="0.25">
      <c r="A69" s="6">
        <v>68</v>
      </c>
      <c r="B69" s="6" t="s">
        <v>33</v>
      </c>
      <c r="C69" s="6" t="s">
        <v>102</v>
      </c>
      <c r="D69" s="18">
        <v>46196</v>
      </c>
      <c r="E69" s="19">
        <v>360.44</v>
      </c>
      <c r="F69" s="19">
        <f>SUMIFS(Payments!$E$2:$E$106,Payments!$B$2:$B$106,B69,Payments!$C$2:$C$106,C69)</f>
        <v>0</v>
      </c>
      <c r="G69" s="20">
        <f>COUNTIFS(Payments!$B$2:$B$106,B69,Payments!$C$2:$C$106,C69)</f>
        <v>0</v>
      </c>
      <c r="H69" s="19">
        <f t="shared" si="2"/>
        <v>360.44</v>
      </c>
      <c r="I69" s="20" t="str">
        <f>IF(G69=0,"Unpaid",IF(ABS(H69)&lt;=Summary!$B$4,"Paid",IF(H69&gt;Summary!$B$4,"Short Pay",IF(AND(G69&gt;=2,OR(ABS(F69-2*E69)&lt;=Summary!$B$4,ABS(F69-3*E69)&lt;=Summary!$B$4,ABS(F69-4*E69)&lt;=Summary!$B$4)),"Duplicate","Overpaid"))))</f>
        <v>Unpaid</v>
      </c>
    </row>
    <row r="70" spans="1:9" x14ac:dyDescent="0.25">
      <c r="A70" s="6">
        <v>69</v>
      </c>
      <c r="B70" s="6" t="s">
        <v>40</v>
      </c>
      <c r="C70" s="6" t="s">
        <v>103</v>
      </c>
      <c r="D70" s="18">
        <v>46175</v>
      </c>
      <c r="E70" s="19">
        <v>795.96</v>
      </c>
      <c r="F70" s="19">
        <f>SUMIFS(Payments!$E$2:$E$106,Payments!$B$2:$B$106,B70,Payments!$C$2:$C$106,C70)</f>
        <v>795.96</v>
      </c>
      <c r="G70" s="20">
        <f>COUNTIFS(Payments!$B$2:$B$106,B70,Payments!$C$2:$C$106,C70)</f>
        <v>1</v>
      </c>
      <c r="H70" s="19">
        <f t="shared" si="2"/>
        <v>0</v>
      </c>
      <c r="I70" s="20" t="str">
        <f>IF(G70=0,"Unpaid",IF(ABS(H70)&lt;=Summary!$B$4,"Paid",IF(H70&gt;Summary!$B$4,"Short Pay",IF(AND(G70&gt;=2,OR(ABS(F70-2*E70)&lt;=Summary!$B$4,ABS(F70-3*E70)&lt;=Summary!$B$4,ABS(F70-4*E70)&lt;=Summary!$B$4)),"Duplicate","Overpaid"))))</f>
        <v>Paid</v>
      </c>
    </row>
    <row r="71" spans="1:9" x14ac:dyDescent="0.25">
      <c r="A71" s="6">
        <v>70</v>
      </c>
      <c r="B71" s="6" t="s">
        <v>33</v>
      </c>
      <c r="C71" s="6" t="s">
        <v>104</v>
      </c>
      <c r="D71" s="18">
        <v>46199</v>
      </c>
      <c r="E71" s="19">
        <v>645.12</v>
      </c>
      <c r="F71" s="19">
        <f>SUMIFS(Payments!$E$2:$E$106,Payments!$B$2:$B$106,B71,Payments!$C$2:$C$106,C71)</f>
        <v>645.12</v>
      </c>
      <c r="G71" s="20">
        <f>COUNTIFS(Payments!$B$2:$B$106,B71,Payments!$C$2:$C$106,C71)</f>
        <v>1</v>
      </c>
      <c r="H71" s="19">
        <f t="shared" si="2"/>
        <v>0</v>
      </c>
      <c r="I71" s="20" t="str">
        <f>IF(G71=0,"Unpaid",IF(ABS(H71)&lt;=Summary!$B$4,"Paid",IF(H71&gt;Summary!$B$4,"Short Pay",IF(AND(G71&gt;=2,OR(ABS(F71-2*E71)&lt;=Summary!$B$4,ABS(F71-3*E71)&lt;=Summary!$B$4,ABS(F71-4*E71)&lt;=Summary!$B$4)),"Duplicate","Overpaid"))))</f>
        <v>Paid</v>
      </c>
    </row>
    <row r="72" spans="1:9" x14ac:dyDescent="0.25">
      <c r="A72" s="6">
        <v>71</v>
      </c>
      <c r="B72" s="6" t="s">
        <v>31</v>
      </c>
      <c r="C72" s="6" t="s">
        <v>105</v>
      </c>
      <c r="D72" s="18">
        <v>46180</v>
      </c>
      <c r="E72" s="19">
        <v>96.15</v>
      </c>
      <c r="F72" s="19">
        <f>SUMIFS(Payments!$E$2:$E$106,Payments!$B$2:$B$106,B72,Payments!$C$2:$C$106,C72)</f>
        <v>96.15</v>
      </c>
      <c r="G72" s="20">
        <f>COUNTIFS(Payments!$B$2:$B$106,B72,Payments!$C$2:$C$106,C72)</f>
        <v>1</v>
      </c>
      <c r="H72" s="19">
        <f t="shared" si="2"/>
        <v>0</v>
      </c>
      <c r="I72" s="20" t="str">
        <f>IF(G72=0,"Unpaid",IF(ABS(H72)&lt;=Summary!$B$4,"Paid",IF(H72&gt;Summary!$B$4,"Short Pay",IF(AND(G72&gt;=2,OR(ABS(F72-2*E72)&lt;=Summary!$B$4,ABS(F72-3*E72)&lt;=Summary!$B$4,ABS(F72-4*E72)&lt;=Summary!$B$4)),"Duplicate","Overpaid"))))</f>
        <v>Paid</v>
      </c>
    </row>
    <row r="73" spans="1:9" x14ac:dyDescent="0.25">
      <c r="A73" s="6">
        <v>72</v>
      </c>
      <c r="B73" s="6" t="s">
        <v>33</v>
      </c>
      <c r="C73" s="6" t="s">
        <v>106</v>
      </c>
      <c r="D73" s="18">
        <v>46176</v>
      </c>
      <c r="E73" s="19">
        <v>593.28</v>
      </c>
      <c r="F73" s="19">
        <f>SUMIFS(Payments!$E$2:$E$106,Payments!$B$2:$B$106,B73,Payments!$C$2:$C$106,C73)</f>
        <v>593.28</v>
      </c>
      <c r="G73" s="20">
        <f>COUNTIFS(Payments!$B$2:$B$106,B73,Payments!$C$2:$C$106,C73)</f>
        <v>1</v>
      </c>
      <c r="H73" s="19">
        <f t="shared" si="2"/>
        <v>0</v>
      </c>
      <c r="I73" s="20" t="str">
        <f>IF(G73=0,"Unpaid",IF(ABS(H73)&lt;=Summary!$B$4,"Paid",IF(H73&gt;Summary!$B$4,"Short Pay",IF(AND(G73&gt;=2,OR(ABS(F73-2*E73)&lt;=Summary!$B$4,ABS(F73-3*E73)&lt;=Summary!$B$4,ABS(F73-4*E73)&lt;=Summary!$B$4)),"Duplicate","Overpaid"))))</f>
        <v>Paid</v>
      </c>
    </row>
    <row r="74" spans="1:9" x14ac:dyDescent="0.25">
      <c r="A74" s="6">
        <v>73</v>
      </c>
      <c r="B74" s="6" t="s">
        <v>33</v>
      </c>
      <c r="C74" s="6" t="s">
        <v>107</v>
      </c>
      <c r="D74" s="18">
        <v>46177</v>
      </c>
      <c r="E74" s="19">
        <v>1881.51</v>
      </c>
      <c r="F74" s="19">
        <f>SUMIFS(Payments!$E$2:$E$106,Payments!$B$2:$B$106,B74,Payments!$C$2:$C$106,C74)</f>
        <v>1600.82</v>
      </c>
      <c r="G74" s="20">
        <f>COUNTIFS(Payments!$B$2:$B$106,B74,Payments!$C$2:$C$106,C74)</f>
        <v>1</v>
      </c>
      <c r="H74" s="19">
        <f t="shared" si="2"/>
        <v>280.69</v>
      </c>
      <c r="I74" s="20" t="str">
        <f>IF(G74=0,"Unpaid",IF(ABS(H74)&lt;=Summary!$B$4,"Paid",IF(H74&gt;Summary!$B$4,"Short Pay",IF(AND(G74&gt;=2,OR(ABS(F74-2*E74)&lt;=Summary!$B$4,ABS(F74-3*E74)&lt;=Summary!$B$4,ABS(F74-4*E74)&lt;=Summary!$B$4)),"Duplicate","Overpaid"))))</f>
        <v>Short Pay</v>
      </c>
    </row>
    <row r="75" spans="1:9" x14ac:dyDescent="0.25">
      <c r="A75" s="6">
        <v>74</v>
      </c>
      <c r="B75" s="6" t="s">
        <v>31</v>
      </c>
      <c r="C75" s="6" t="s">
        <v>108</v>
      </c>
      <c r="D75" s="18">
        <v>46182</v>
      </c>
      <c r="E75" s="19">
        <v>1182.1500000000001</v>
      </c>
      <c r="F75" s="19">
        <f>SUMIFS(Payments!$E$2:$E$106,Payments!$B$2:$B$106,B75,Payments!$C$2:$C$106,C75)</f>
        <v>1182.1500000000001</v>
      </c>
      <c r="G75" s="20">
        <f>COUNTIFS(Payments!$B$2:$B$106,B75,Payments!$C$2:$C$106,C75)</f>
        <v>1</v>
      </c>
      <c r="H75" s="19">
        <f t="shared" si="2"/>
        <v>0</v>
      </c>
      <c r="I75" s="20" t="str">
        <f>IF(G75=0,"Unpaid",IF(ABS(H75)&lt;=Summary!$B$4,"Paid",IF(H75&gt;Summary!$B$4,"Short Pay",IF(AND(G75&gt;=2,OR(ABS(F75-2*E75)&lt;=Summary!$B$4,ABS(F75-3*E75)&lt;=Summary!$B$4,ABS(F75-4*E75)&lt;=Summary!$B$4)),"Duplicate","Overpaid"))))</f>
        <v>Paid</v>
      </c>
    </row>
    <row r="76" spans="1:9" x14ac:dyDescent="0.25">
      <c r="A76" s="6">
        <v>75</v>
      </c>
      <c r="B76" s="6" t="s">
        <v>33</v>
      </c>
      <c r="C76" s="6" t="s">
        <v>109</v>
      </c>
      <c r="D76" s="18">
        <v>46184</v>
      </c>
      <c r="E76" s="19">
        <v>1470.66</v>
      </c>
      <c r="F76" s="19">
        <f>SUMIFS(Payments!$E$2:$E$106,Payments!$B$2:$B$106,B76,Payments!$C$2:$C$106,C76)</f>
        <v>0</v>
      </c>
      <c r="G76" s="20">
        <f>COUNTIFS(Payments!$B$2:$B$106,B76,Payments!$C$2:$C$106,C76)</f>
        <v>0</v>
      </c>
      <c r="H76" s="19">
        <f t="shared" si="2"/>
        <v>1470.66</v>
      </c>
      <c r="I76" s="20" t="str">
        <f>IF(G76=0,"Unpaid",IF(ABS(H76)&lt;=Summary!$B$4,"Paid",IF(H76&gt;Summary!$B$4,"Short Pay",IF(AND(G76&gt;=2,OR(ABS(F76-2*E76)&lt;=Summary!$B$4,ABS(F76-3*E76)&lt;=Summary!$B$4,ABS(F76-4*E76)&lt;=Summary!$B$4)),"Duplicate","Overpaid"))))</f>
        <v>Unpaid</v>
      </c>
    </row>
    <row r="77" spans="1:9" x14ac:dyDescent="0.25">
      <c r="A77" s="6">
        <v>76</v>
      </c>
      <c r="B77" s="6" t="s">
        <v>35</v>
      </c>
      <c r="C77" s="6" t="s">
        <v>110</v>
      </c>
      <c r="D77" s="18">
        <v>46190</v>
      </c>
      <c r="E77" s="19">
        <v>1232.1099999999999</v>
      </c>
      <c r="F77" s="19">
        <f>SUMIFS(Payments!$E$2:$E$106,Payments!$B$2:$B$106,B77,Payments!$C$2:$C$106,C77)</f>
        <v>2464.2199999999998</v>
      </c>
      <c r="G77" s="20">
        <f>COUNTIFS(Payments!$B$2:$B$106,B77,Payments!$C$2:$C$106,C77)</f>
        <v>2</v>
      </c>
      <c r="H77" s="19">
        <f t="shared" si="2"/>
        <v>-1232.1099999999999</v>
      </c>
      <c r="I77" s="20" t="str">
        <f>IF(G77=0,"Unpaid",IF(ABS(H77)&lt;=Summary!$B$4,"Paid",IF(H77&gt;Summary!$B$4,"Short Pay",IF(AND(G77&gt;=2,OR(ABS(F77-2*E77)&lt;=Summary!$B$4,ABS(F77-3*E77)&lt;=Summary!$B$4,ABS(F77-4*E77)&lt;=Summary!$B$4)),"Duplicate","Overpaid"))))</f>
        <v>Duplicate</v>
      </c>
    </row>
    <row r="78" spans="1:9" x14ac:dyDescent="0.25">
      <c r="A78" s="6">
        <v>77</v>
      </c>
      <c r="B78" s="6" t="s">
        <v>31</v>
      </c>
      <c r="C78" s="6" t="s">
        <v>111</v>
      </c>
      <c r="D78" s="18">
        <v>46196</v>
      </c>
      <c r="E78" s="19">
        <v>546.71</v>
      </c>
      <c r="F78" s="19">
        <f>SUMIFS(Payments!$E$2:$E$106,Payments!$B$2:$B$106,B78,Payments!$C$2:$C$106,C78)</f>
        <v>546.71</v>
      </c>
      <c r="G78" s="20">
        <f>COUNTIFS(Payments!$B$2:$B$106,B78,Payments!$C$2:$C$106,C78)</f>
        <v>1</v>
      </c>
      <c r="H78" s="19">
        <f t="shared" si="2"/>
        <v>0</v>
      </c>
      <c r="I78" s="20" t="str">
        <f>IF(G78=0,"Unpaid",IF(ABS(H78)&lt;=Summary!$B$4,"Paid",IF(H78&gt;Summary!$B$4,"Short Pay",IF(AND(G78&gt;=2,OR(ABS(F78-2*E78)&lt;=Summary!$B$4,ABS(F78-3*E78)&lt;=Summary!$B$4,ABS(F78-4*E78)&lt;=Summary!$B$4)),"Duplicate","Overpaid"))))</f>
        <v>Paid</v>
      </c>
    </row>
    <row r="79" spans="1:9" x14ac:dyDescent="0.25">
      <c r="A79" s="6">
        <v>78</v>
      </c>
      <c r="B79" s="6" t="s">
        <v>40</v>
      </c>
      <c r="C79" s="6" t="s">
        <v>112</v>
      </c>
      <c r="D79" s="18">
        <v>46199</v>
      </c>
      <c r="E79" s="19">
        <v>1063.8399999999999</v>
      </c>
      <c r="F79" s="19">
        <f>SUMIFS(Payments!$E$2:$E$106,Payments!$B$2:$B$106,B79,Payments!$C$2:$C$106,C79)</f>
        <v>1260.24</v>
      </c>
      <c r="G79" s="20">
        <f>COUNTIFS(Payments!$B$2:$B$106,B79,Payments!$C$2:$C$106,C79)</f>
        <v>1</v>
      </c>
      <c r="H79" s="19">
        <f t="shared" si="2"/>
        <v>-196.4</v>
      </c>
      <c r="I79" s="20" t="str">
        <f>IF(G79=0,"Unpaid",IF(ABS(H79)&lt;=Summary!$B$4,"Paid",IF(H79&gt;Summary!$B$4,"Short Pay",IF(AND(G79&gt;=2,OR(ABS(F79-2*E79)&lt;=Summary!$B$4,ABS(F79-3*E79)&lt;=Summary!$B$4,ABS(F79-4*E79)&lt;=Summary!$B$4)),"Duplicate","Overpaid"))))</f>
        <v>Overpaid</v>
      </c>
    </row>
    <row r="80" spans="1:9" x14ac:dyDescent="0.25">
      <c r="A80" s="6">
        <v>79</v>
      </c>
      <c r="B80" s="6" t="s">
        <v>33</v>
      </c>
      <c r="C80" s="6" t="s">
        <v>113</v>
      </c>
      <c r="D80" s="18">
        <v>46204</v>
      </c>
      <c r="E80" s="19">
        <v>891.03</v>
      </c>
      <c r="F80" s="19">
        <f>SUMIFS(Payments!$E$2:$E$106,Payments!$B$2:$B$106,B80,Payments!$C$2:$C$106,C80)</f>
        <v>1782.06</v>
      </c>
      <c r="G80" s="20">
        <f>COUNTIFS(Payments!$B$2:$B$106,B80,Payments!$C$2:$C$106,C80)</f>
        <v>2</v>
      </c>
      <c r="H80" s="19">
        <f t="shared" si="2"/>
        <v>-891.03</v>
      </c>
      <c r="I80" s="20" t="str">
        <f>IF(G80=0,"Unpaid",IF(ABS(H80)&lt;=Summary!$B$4,"Paid",IF(H80&gt;Summary!$B$4,"Short Pay",IF(AND(G80&gt;=2,OR(ABS(F80-2*E80)&lt;=Summary!$B$4,ABS(F80-3*E80)&lt;=Summary!$B$4,ABS(F80-4*E80)&lt;=Summary!$B$4)),"Duplicate","Overpaid"))))</f>
        <v>Duplicate</v>
      </c>
    </row>
    <row r="81" spans="1:9" x14ac:dyDescent="0.25">
      <c r="A81" s="6">
        <v>80</v>
      </c>
      <c r="B81" s="6" t="s">
        <v>40</v>
      </c>
      <c r="C81" s="6" t="s">
        <v>114</v>
      </c>
      <c r="D81" s="18">
        <v>46183</v>
      </c>
      <c r="E81" s="19">
        <v>1453.52</v>
      </c>
      <c r="F81" s="19">
        <f>SUMIFS(Payments!$E$2:$E$106,Payments!$B$2:$B$106,B81,Payments!$C$2:$C$106,C81)</f>
        <v>1710.47</v>
      </c>
      <c r="G81" s="20">
        <f>COUNTIFS(Payments!$B$2:$B$106,B81,Payments!$C$2:$C$106,C81)</f>
        <v>1</v>
      </c>
      <c r="H81" s="19">
        <f t="shared" si="2"/>
        <v>-256.95</v>
      </c>
      <c r="I81" s="20" t="str">
        <f>IF(G81=0,"Unpaid",IF(ABS(H81)&lt;=Summary!$B$4,"Paid",IF(H81&gt;Summary!$B$4,"Short Pay",IF(AND(G81&gt;=2,OR(ABS(F81-2*E81)&lt;=Summary!$B$4,ABS(F81-3*E81)&lt;=Summary!$B$4,ABS(F81-4*E81)&lt;=Summary!$B$4)),"Duplicate","Overpaid"))))</f>
        <v>Overpaid</v>
      </c>
    </row>
    <row r="82" spans="1:9" x14ac:dyDescent="0.25">
      <c r="A82" s="6">
        <v>81</v>
      </c>
      <c r="B82" s="6" t="s">
        <v>33</v>
      </c>
      <c r="C82" s="6" t="s">
        <v>115</v>
      </c>
      <c r="D82" s="18">
        <v>46183</v>
      </c>
      <c r="E82" s="19">
        <v>834.68</v>
      </c>
      <c r="F82" s="19">
        <f>SUMIFS(Payments!$E$2:$E$106,Payments!$B$2:$B$106,B82,Payments!$C$2:$C$106,C82)</f>
        <v>602.44000000000005</v>
      </c>
      <c r="G82" s="20">
        <f>COUNTIFS(Payments!$B$2:$B$106,B82,Payments!$C$2:$C$106,C82)</f>
        <v>1</v>
      </c>
      <c r="H82" s="19">
        <f t="shared" si="2"/>
        <v>232.24</v>
      </c>
      <c r="I82" s="20" t="str">
        <f>IF(G82=0,"Unpaid",IF(ABS(H82)&lt;=Summary!$B$4,"Paid",IF(H82&gt;Summary!$B$4,"Short Pay",IF(AND(G82&gt;=2,OR(ABS(F82-2*E82)&lt;=Summary!$B$4,ABS(F82-3*E82)&lt;=Summary!$B$4,ABS(F82-4*E82)&lt;=Summary!$B$4)),"Duplicate","Overpaid"))))</f>
        <v>Short Pay</v>
      </c>
    </row>
    <row r="83" spans="1:9" x14ac:dyDescent="0.25">
      <c r="A83" s="6">
        <v>82</v>
      </c>
      <c r="B83" s="6" t="s">
        <v>35</v>
      </c>
      <c r="C83" s="6" t="s">
        <v>116</v>
      </c>
      <c r="D83" s="18">
        <v>46186</v>
      </c>
      <c r="E83" s="19">
        <v>1346.61</v>
      </c>
      <c r="F83" s="19">
        <f>SUMIFS(Payments!$E$2:$E$106,Payments!$B$2:$B$106,B83,Payments!$C$2:$C$106,C83)</f>
        <v>1346.61</v>
      </c>
      <c r="G83" s="20">
        <f>COUNTIFS(Payments!$B$2:$B$106,B83,Payments!$C$2:$C$106,C83)</f>
        <v>1</v>
      </c>
      <c r="H83" s="19">
        <f t="shared" si="2"/>
        <v>0</v>
      </c>
      <c r="I83" s="20" t="str">
        <f>IF(G83=0,"Unpaid",IF(ABS(H83)&lt;=Summary!$B$4,"Paid",IF(H83&gt;Summary!$B$4,"Short Pay",IF(AND(G83&gt;=2,OR(ABS(F83-2*E83)&lt;=Summary!$B$4,ABS(F83-3*E83)&lt;=Summary!$B$4,ABS(F83-4*E83)&lt;=Summary!$B$4)),"Duplicate","Overpaid"))))</f>
        <v>Paid</v>
      </c>
    </row>
    <row r="84" spans="1:9" x14ac:dyDescent="0.25">
      <c r="A84" s="6">
        <v>83</v>
      </c>
      <c r="B84" s="6" t="s">
        <v>33</v>
      </c>
      <c r="C84" s="6" t="s">
        <v>117</v>
      </c>
      <c r="D84" s="18">
        <v>46200</v>
      </c>
      <c r="E84" s="19">
        <v>841.85</v>
      </c>
      <c r="F84" s="19">
        <f>SUMIFS(Payments!$E$2:$E$106,Payments!$B$2:$B$106,B84,Payments!$C$2:$C$106,C84)</f>
        <v>841.85</v>
      </c>
      <c r="G84" s="20">
        <f>COUNTIFS(Payments!$B$2:$B$106,B84,Payments!$C$2:$C$106,C84)</f>
        <v>1</v>
      </c>
      <c r="H84" s="19">
        <f t="shared" si="2"/>
        <v>0</v>
      </c>
      <c r="I84" s="20" t="str">
        <f>IF(G84=0,"Unpaid",IF(ABS(H84)&lt;=Summary!$B$4,"Paid",IF(H84&gt;Summary!$B$4,"Short Pay",IF(AND(G84&gt;=2,OR(ABS(F84-2*E84)&lt;=Summary!$B$4,ABS(F84-3*E84)&lt;=Summary!$B$4,ABS(F84-4*E84)&lt;=Summary!$B$4)),"Duplicate","Overpaid"))))</f>
        <v>Paid</v>
      </c>
    </row>
    <row r="85" spans="1:9" x14ac:dyDescent="0.25">
      <c r="A85" s="6">
        <v>84</v>
      </c>
      <c r="B85" s="6" t="s">
        <v>33</v>
      </c>
      <c r="C85" s="6" t="s">
        <v>118</v>
      </c>
      <c r="D85" s="18">
        <v>46187</v>
      </c>
      <c r="E85" s="19">
        <v>609.48</v>
      </c>
      <c r="F85" s="19">
        <f>SUMIFS(Payments!$E$2:$E$106,Payments!$B$2:$B$106,B85,Payments!$C$2:$C$106,C85)</f>
        <v>1218.96</v>
      </c>
      <c r="G85" s="20">
        <f>COUNTIFS(Payments!$B$2:$B$106,B85,Payments!$C$2:$C$106,C85)</f>
        <v>2</v>
      </c>
      <c r="H85" s="19">
        <f t="shared" si="2"/>
        <v>-609.48</v>
      </c>
      <c r="I85" s="20" t="str">
        <f>IF(G85=0,"Unpaid",IF(ABS(H85)&lt;=Summary!$B$4,"Paid",IF(H85&gt;Summary!$B$4,"Short Pay",IF(AND(G85&gt;=2,OR(ABS(F85-2*E85)&lt;=Summary!$B$4,ABS(F85-3*E85)&lt;=Summary!$B$4,ABS(F85-4*E85)&lt;=Summary!$B$4)),"Duplicate","Overpaid"))))</f>
        <v>Duplicate</v>
      </c>
    </row>
    <row r="86" spans="1:9" x14ac:dyDescent="0.25">
      <c r="A86" s="6">
        <v>85</v>
      </c>
      <c r="B86" s="6" t="s">
        <v>35</v>
      </c>
      <c r="C86" s="6" t="s">
        <v>119</v>
      </c>
      <c r="D86" s="18">
        <v>46180</v>
      </c>
      <c r="E86" s="19">
        <v>912.21</v>
      </c>
      <c r="F86" s="19">
        <f>SUMIFS(Payments!$E$2:$E$106,Payments!$B$2:$B$106,B86,Payments!$C$2:$C$106,C86)</f>
        <v>912.21</v>
      </c>
      <c r="G86" s="20">
        <f>COUNTIFS(Payments!$B$2:$B$106,B86,Payments!$C$2:$C$106,C86)</f>
        <v>1</v>
      </c>
      <c r="H86" s="19">
        <f t="shared" si="2"/>
        <v>0</v>
      </c>
      <c r="I86" s="20" t="str">
        <f>IF(G86=0,"Unpaid",IF(ABS(H86)&lt;=Summary!$B$4,"Paid",IF(H86&gt;Summary!$B$4,"Short Pay",IF(AND(G86&gt;=2,OR(ABS(F86-2*E86)&lt;=Summary!$B$4,ABS(F86-3*E86)&lt;=Summary!$B$4,ABS(F86-4*E86)&lt;=Summary!$B$4)),"Duplicate","Overpaid"))))</f>
        <v>Paid</v>
      </c>
    </row>
    <row r="87" spans="1:9" x14ac:dyDescent="0.25">
      <c r="A87" s="6">
        <v>86</v>
      </c>
      <c r="B87" s="6" t="s">
        <v>40</v>
      </c>
      <c r="C87" s="6" t="s">
        <v>120</v>
      </c>
      <c r="D87" s="18">
        <v>46195</v>
      </c>
      <c r="E87" s="19">
        <v>603.38</v>
      </c>
      <c r="F87" s="19">
        <f>SUMIFS(Payments!$E$2:$E$106,Payments!$B$2:$B$106,B87,Payments!$C$2:$C$106,C87)</f>
        <v>603.38</v>
      </c>
      <c r="G87" s="20">
        <f>COUNTIFS(Payments!$B$2:$B$106,B87,Payments!$C$2:$C$106,C87)</f>
        <v>1</v>
      </c>
      <c r="H87" s="19">
        <f t="shared" si="2"/>
        <v>0</v>
      </c>
      <c r="I87" s="20" t="str">
        <f>IF(G87=0,"Unpaid",IF(ABS(H87)&lt;=Summary!$B$4,"Paid",IF(H87&gt;Summary!$B$4,"Short Pay",IF(AND(G87&gt;=2,OR(ABS(F87-2*E87)&lt;=Summary!$B$4,ABS(F87-3*E87)&lt;=Summary!$B$4,ABS(F87-4*E87)&lt;=Summary!$B$4)),"Duplicate","Overpaid"))))</f>
        <v>Paid</v>
      </c>
    </row>
    <row r="88" spans="1:9" x14ac:dyDescent="0.25">
      <c r="A88" s="6">
        <v>87</v>
      </c>
      <c r="B88" s="6" t="s">
        <v>40</v>
      </c>
      <c r="C88" s="6" t="s">
        <v>121</v>
      </c>
      <c r="D88" s="18">
        <v>46198</v>
      </c>
      <c r="E88" s="19">
        <v>1645.93</v>
      </c>
      <c r="F88" s="19">
        <f>SUMIFS(Payments!$E$2:$E$106,Payments!$B$2:$B$106,B88,Payments!$C$2:$C$106,C88)</f>
        <v>0</v>
      </c>
      <c r="G88" s="20">
        <f>COUNTIFS(Payments!$B$2:$B$106,B88,Payments!$C$2:$C$106,C88)</f>
        <v>0</v>
      </c>
      <c r="H88" s="19">
        <f t="shared" si="2"/>
        <v>1645.93</v>
      </c>
      <c r="I88" s="20" t="str">
        <f>IF(G88=0,"Unpaid",IF(ABS(H88)&lt;=Summary!$B$4,"Paid",IF(H88&gt;Summary!$B$4,"Short Pay",IF(AND(G88&gt;=2,OR(ABS(F88-2*E88)&lt;=Summary!$B$4,ABS(F88-3*E88)&lt;=Summary!$B$4,ABS(F88-4*E88)&lt;=Summary!$B$4)),"Duplicate","Overpaid"))))</f>
        <v>Unpaid</v>
      </c>
    </row>
    <row r="89" spans="1:9" x14ac:dyDescent="0.25">
      <c r="A89" s="6">
        <v>88</v>
      </c>
      <c r="B89" s="6" t="s">
        <v>31</v>
      </c>
      <c r="C89" s="6" t="s">
        <v>122</v>
      </c>
      <c r="D89" s="18">
        <v>46181</v>
      </c>
      <c r="E89" s="19">
        <v>1361.95</v>
      </c>
      <c r="F89" s="19">
        <f>SUMIFS(Payments!$E$2:$E$106,Payments!$B$2:$B$106,B89,Payments!$C$2:$C$106,C89)</f>
        <v>1704.67</v>
      </c>
      <c r="G89" s="20">
        <f>COUNTIFS(Payments!$B$2:$B$106,B89,Payments!$C$2:$C$106,C89)</f>
        <v>1</v>
      </c>
      <c r="H89" s="19">
        <f t="shared" si="2"/>
        <v>-342.72</v>
      </c>
      <c r="I89" s="20" t="str">
        <f>IF(G89=0,"Unpaid",IF(ABS(H89)&lt;=Summary!$B$4,"Paid",IF(H89&gt;Summary!$B$4,"Short Pay",IF(AND(G89&gt;=2,OR(ABS(F89-2*E89)&lt;=Summary!$B$4,ABS(F89-3*E89)&lt;=Summary!$B$4,ABS(F89-4*E89)&lt;=Summary!$B$4)),"Duplicate","Overpaid"))))</f>
        <v>Overpaid</v>
      </c>
    </row>
    <row r="90" spans="1:9" x14ac:dyDescent="0.25">
      <c r="A90" s="6">
        <v>89</v>
      </c>
      <c r="B90" s="6" t="s">
        <v>40</v>
      </c>
      <c r="C90" s="6" t="s">
        <v>123</v>
      </c>
      <c r="D90" s="18">
        <v>46189</v>
      </c>
      <c r="E90" s="19">
        <v>140.12</v>
      </c>
      <c r="F90" s="19">
        <f>SUMIFS(Payments!$E$2:$E$106,Payments!$B$2:$B$106,B90,Payments!$C$2:$C$106,C90)</f>
        <v>140.12</v>
      </c>
      <c r="G90" s="20">
        <f>COUNTIFS(Payments!$B$2:$B$106,B90,Payments!$C$2:$C$106,C90)</f>
        <v>1</v>
      </c>
      <c r="H90" s="19">
        <f t="shared" si="2"/>
        <v>0</v>
      </c>
      <c r="I90" s="20" t="str">
        <f>IF(G90=0,"Unpaid",IF(ABS(H90)&lt;=Summary!$B$4,"Paid",IF(H90&gt;Summary!$B$4,"Short Pay",IF(AND(G90&gt;=2,OR(ABS(F90-2*E90)&lt;=Summary!$B$4,ABS(F90-3*E90)&lt;=Summary!$B$4,ABS(F90-4*E90)&lt;=Summary!$B$4)),"Duplicate","Overpaid"))))</f>
        <v>Paid</v>
      </c>
    </row>
    <row r="91" spans="1:9" x14ac:dyDescent="0.25">
      <c r="A91" s="6">
        <v>90</v>
      </c>
      <c r="B91" s="6" t="s">
        <v>35</v>
      </c>
      <c r="C91" s="6" t="s">
        <v>124</v>
      </c>
      <c r="D91" s="18">
        <v>46194</v>
      </c>
      <c r="E91" s="19">
        <v>858.16</v>
      </c>
      <c r="F91" s="19">
        <f>SUMIFS(Payments!$E$2:$E$106,Payments!$B$2:$B$106,B91,Payments!$C$2:$C$106,C91)</f>
        <v>626.69000000000005</v>
      </c>
      <c r="G91" s="20">
        <f>COUNTIFS(Payments!$B$2:$B$106,B91,Payments!$C$2:$C$106,C91)</f>
        <v>1</v>
      </c>
      <c r="H91" s="19">
        <f t="shared" si="2"/>
        <v>231.47</v>
      </c>
      <c r="I91" s="20" t="str">
        <f>IF(G91=0,"Unpaid",IF(ABS(H91)&lt;=Summary!$B$4,"Paid",IF(H91&gt;Summary!$B$4,"Short Pay",IF(AND(G91&gt;=2,OR(ABS(F91-2*E91)&lt;=Summary!$B$4,ABS(F91-3*E91)&lt;=Summary!$B$4,ABS(F91-4*E91)&lt;=Summary!$B$4)),"Duplicate","Overpaid"))))</f>
        <v>Short Pay</v>
      </c>
    </row>
    <row r="92" spans="1:9" x14ac:dyDescent="0.25">
      <c r="A92" s="6">
        <v>91</v>
      </c>
      <c r="B92" s="6" t="s">
        <v>35</v>
      </c>
      <c r="C92" s="6" t="s">
        <v>125</v>
      </c>
      <c r="D92" s="18">
        <v>46178</v>
      </c>
      <c r="E92" s="19">
        <v>829.32</v>
      </c>
      <c r="F92" s="19">
        <f>SUMIFS(Payments!$E$2:$E$106,Payments!$B$2:$B$106,B92,Payments!$C$2:$C$106,C92)</f>
        <v>1658.64</v>
      </c>
      <c r="G92" s="20">
        <f>COUNTIFS(Payments!$B$2:$B$106,B92,Payments!$C$2:$C$106,C92)</f>
        <v>2</v>
      </c>
      <c r="H92" s="19">
        <f t="shared" si="2"/>
        <v>-829.32</v>
      </c>
      <c r="I92" s="20" t="str">
        <f>IF(G92=0,"Unpaid",IF(ABS(H92)&lt;=Summary!$B$4,"Paid",IF(H92&gt;Summary!$B$4,"Short Pay",IF(AND(G92&gt;=2,OR(ABS(F92-2*E92)&lt;=Summary!$B$4,ABS(F92-3*E92)&lt;=Summary!$B$4,ABS(F92-4*E92)&lt;=Summary!$B$4)),"Duplicate","Overpaid"))))</f>
        <v>Duplicate</v>
      </c>
    </row>
    <row r="93" spans="1:9" x14ac:dyDescent="0.25">
      <c r="A93" s="6">
        <v>92</v>
      </c>
      <c r="B93" s="6" t="s">
        <v>35</v>
      </c>
      <c r="C93" s="6" t="s">
        <v>126</v>
      </c>
      <c r="D93" s="18">
        <v>46199</v>
      </c>
      <c r="E93" s="19">
        <v>476.74</v>
      </c>
      <c r="F93" s="19">
        <f>SUMIFS(Payments!$E$2:$E$106,Payments!$B$2:$B$106,B93,Payments!$C$2:$C$106,C93)</f>
        <v>476.74</v>
      </c>
      <c r="G93" s="20">
        <f>COUNTIFS(Payments!$B$2:$B$106,B93,Payments!$C$2:$C$106,C93)</f>
        <v>1</v>
      </c>
      <c r="H93" s="19">
        <f t="shared" si="2"/>
        <v>0</v>
      </c>
      <c r="I93" s="20" t="str">
        <f>IF(G93=0,"Unpaid",IF(ABS(H93)&lt;=Summary!$B$4,"Paid",IF(H93&gt;Summary!$B$4,"Short Pay",IF(AND(G93&gt;=2,OR(ABS(F93-2*E93)&lt;=Summary!$B$4,ABS(F93-3*E93)&lt;=Summary!$B$4,ABS(F93-4*E93)&lt;=Summary!$B$4)),"Duplicate","Overpaid"))))</f>
        <v>Paid</v>
      </c>
    </row>
    <row r="94" spans="1:9" x14ac:dyDescent="0.25">
      <c r="A94" s="6">
        <v>93</v>
      </c>
      <c r="B94" s="6" t="s">
        <v>40</v>
      </c>
      <c r="C94" s="6" t="s">
        <v>127</v>
      </c>
      <c r="D94" s="18">
        <v>46203</v>
      </c>
      <c r="E94" s="19">
        <v>1136.94</v>
      </c>
      <c r="F94" s="19">
        <f>SUMIFS(Payments!$E$2:$E$106,Payments!$B$2:$B$106,B94,Payments!$C$2:$C$106,C94)</f>
        <v>1136.94</v>
      </c>
      <c r="G94" s="20">
        <f>COUNTIFS(Payments!$B$2:$B$106,B94,Payments!$C$2:$C$106,C94)</f>
        <v>1</v>
      </c>
      <c r="H94" s="19">
        <f t="shared" si="2"/>
        <v>0</v>
      </c>
      <c r="I94" s="20" t="str">
        <f>IF(G94=0,"Unpaid",IF(ABS(H94)&lt;=Summary!$B$4,"Paid",IF(H94&gt;Summary!$B$4,"Short Pay",IF(AND(G94&gt;=2,OR(ABS(F94-2*E94)&lt;=Summary!$B$4,ABS(F94-3*E94)&lt;=Summary!$B$4,ABS(F94-4*E94)&lt;=Summary!$B$4)),"Duplicate","Overpaid"))))</f>
        <v>Paid</v>
      </c>
    </row>
    <row r="95" spans="1:9" x14ac:dyDescent="0.25">
      <c r="A95" s="6">
        <v>94</v>
      </c>
      <c r="B95" s="6" t="s">
        <v>35</v>
      </c>
      <c r="C95" s="6" t="s">
        <v>128</v>
      </c>
      <c r="D95" s="18">
        <v>46188</v>
      </c>
      <c r="E95" s="19">
        <v>310.01</v>
      </c>
      <c r="F95" s="19">
        <f>SUMIFS(Payments!$E$2:$E$106,Payments!$B$2:$B$106,B95,Payments!$C$2:$C$106,C95)</f>
        <v>310.01</v>
      </c>
      <c r="G95" s="20">
        <f>COUNTIFS(Payments!$B$2:$B$106,B95,Payments!$C$2:$C$106,C95)</f>
        <v>1</v>
      </c>
      <c r="H95" s="19">
        <f t="shared" si="2"/>
        <v>0</v>
      </c>
      <c r="I95" s="20" t="str">
        <f>IF(G95=0,"Unpaid",IF(ABS(H95)&lt;=Summary!$B$4,"Paid",IF(H95&gt;Summary!$B$4,"Short Pay",IF(AND(G95&gt;=2,OR(ABS(F95-2*E95)&lt;=Summary!$B$4,ABS(F95-3*E95)&lt;=Summary!$B$4,ABS(F95-4*E95)&lt;=Summary!$B$4)),"Duplicate","Overpaid"))))</f>
        <v>Paid</v>
      </c>
    </row>
    <row r="96" spans="1:9" x14ac:dyDescent="0.25">
      <c r="A96" s="6">
        <v>95</v>
      </c>
      <c r="B96" s="6" t="s">
        <v>35</v>
      </c>
      <c r="C96" s="6" t="s">
        <v>129</v>
      </c>
      <c r="D96" s="18">
        <v>46197</v>
      </c>
      <c r="E96" s="19">
        <v>1244.67</v>
      </c>
      <c r="F96" s="19">
        <f>SUMIFS(Payments!$E$2:$E$106,Payments!$B$2:$B$106,B96,Payments!$C$2:$C$106,C96)</f>
        <v>1244.67</v>
      </c>
      <c r="G96" s="20">
        <f>COUNTIFS(Payments!$B$2:$B$106,B96,Payments!$C$2:$C$106,C96)</f>
        <v>1</v>
      </c>
      <c r="H96" s="19">
        <f t="shared" si="2"/>
        <v>0</v>
      </c>
      <c r="I96" s="20" t="str">
        <f>IF(G96=0,"Unpaid",IF(ABS(H96)&lt;=Summary!$B$4,"Paid",IF(H96&gt;Summary!$B$4,"Short Pay",IF(AND(G96&gt;=2,OR(ABS(F96-2*E96)&lt;=Summary!$B$4,ABS(F96-3*E96)&lt;=Summary!$B$4,ABS(F96-4*E96)&lt;=Summary!$B$4)),"Duplicate","Overpaid"))))</f>
        <v>Paid</v>
      </c>
    </row>
    <row r="97" spans="1:9" x14ac:dyDescent="0.25">
      <c r="A97" s="6">
        <v>96</v>
      </c>
      <c r="B97" s="6" t="s">
        <v>35</v>
      </c>
      <c r="C97" s="6" t="s">
        <v>130</v>
      </c>
      <c r="D97" s="18">
        <v>46197</v>
      </c>
      <c r="E97" s="19">
        <v>1799.56</v>
      </c>
      <c r="F97" s="19">
        <f>SUMIFS(Payments!$E$2:$E$106,Payments!$B$2:$B$106,B97,Payments!$C$2:$C$106,C97)</f>
        <v>1799.56</v>
      </c>
      <c r="G97" s="20">
        <f>COUNTIFS(Payments!$B$2:$B$106,B97,Payments!$C$2:$C$106,C97)</f>
        <v>1</v>
      </c>
      <c r="H97" s="19">
        <f t="shared" si="2"/>
        <v>0</v>
      </c>
      <c r="I97" s="20" t="str">
        <f>IF(G97=0,"Unpaid",IF(ABS(H97)&lt;=Summary!$B$4,"Paid",IF(H97&gt;Summary!$B$4,"Short Pay",IF(AND(G97&gt;=2,OR(ABS(F97-2*E97)&lt;=Summary!$B$4,ABS(F97-3*E97)&lt;=Summary!$B$4,ABS(F97-4*E97)&lt;=Summary!$B$4)),"Duplicate","Overpaid"))))</f>
        <v>Paid</v>
      </c>
    </row>
    <row r="98" spans="1:9" x14ac:dyDescent="0.25">
      <c r="A98" s="6">
        <v>97</v>
      </c>
      <c r="B98" s="6" t="s">
        <v>35</v>
      </c>
      <c r="C98" s="6" t="s">
        <v>131</v>
      </c>
      <c r="D98" s="18">
        <v>46181</v>
      </c>
      <c r="E98" s="19">
        <v>555.41999999999996</v>
      </c>
      <c r="F98" s="19">
        <f>SUMIFS(Payments!$E$2:$E$106,Payments!$B$2:$B$106,B98,Payments!$C$2:$C$106,C98)</f>
        <v>555.41999999999996</v>
      </c>
      <c r="G98" s="20">
        <f>COUNTIFS(Payments!$B$2:$B$106,B98,Payments!$C$2:$C$106,C98)</f>
        <v>1</v>
      </c>
      <c r="H98" s="19">
        <f t="shared" si="2"/>
        <v>0</v>
      </c>
      <c r="I98" s="20" t="str">
        <f>IF(G98=0,"Unpaid",IF(ABS(H98)&lt;=Summary!$B$4,"Paid",IF(H98&gt;Summary!$B$4,"Short Pay",IF(AND(G98&gt;=2,OR(ABS(F98-2*E98)&lt;=Summary!$B$4,ABS(F98-3*E98)&lt;=Summary!$B$4,ABS(F98-4*E98)&lt;=Summary!$B$4)),"Duplicate","Overpaid"))))</f>
        <v>Paid</v>
      </c>
    </row>
    <row r="99" spans="1:9" x14ac:dyDescent="0.25">
      <c r="A99" s="6">
        <v>98</v>
      </c>
      <c r="B99" s="6" t="s">
        <v>31</v>
      </c>
      <c r="C99" s="6" t="s">
        <v>132</v>
      </c>
      <c r="D99" s="18">
        <v>46176</v>
      </c>
      <c r="E99" s="19">
        <v>585.47</v>
      </c>
      <c r="F99" s="19">
        <f>SUMIFS(Payments!$E$2:$E$106,Payments!$B$2:$B$106,B99,Payments!$C$2:$C$106,C99)</f>
        <v>585.47</v>
      </c>
      <c r="G99" s="20">
        <f>COUNTIFS(Payments!$B$2:$B$106,B99,Payments!$C$2:$C$106,C99)</f>
        <v>1</v>
      </c>
      <c r="H99" s="19">
        <f t="shared" si="2"/>
        <v>0</v>
      </c>
      <c r="I99" s="20" t="str">
        <f>IF(G99=0,"Unpaid",IF(ABS(H99)&lt;=Summary!$B$4,"Paid",IF(H99&gt;Summary!$B$4,"Short Pay",IF(AND(G99&gt;=2,OR(ABS(F99-2*E99)&lt;=Summary!$B$4,ABS(F99-3*E99)&lt;=Summary!$B$4,ABS(F99-4*E99)&lt;=Summary!$B$4)),"Duplicate","Overpaid"))))</f>
        <v>Paid</v>
      </c>
    </row>
    <row r="100" spans="1:9" x14ac:dyDescent="0.25">
      <c r="A100" s="6">
        <v>99</v>
      </c>
      <c r="B100" s="6" t="s">
        <v>31</v>
      </c>
      <c r="C100" s="6" t="s">
        <v>133</v>
      </c>
      <c r="D100" s="18">
        <v>46184</v>
      </c>
      <c r="E100" s="19">
        <v>579.84</v>
      </c>
      <c r="F100" s="19">
        <f>SUMIFS(Payments!$E$2:$E$106,Payments!$B$2:$B$106,B100,Payments!$C$2:$C$106,C100)</f>
        <v>579.84</v>
      </c>
      <c r="G100" s="20">
        <f>COUNTIFS(Payments!$B$2:$B$106,B100,Payments!$C$2:$C$106,C100)</f>
        <v>1</v>
      </c>
      <c r="H100" s="19">
        <f t="shared" si="2"/>
        <v>0</v>
      </c>
      <c r="I100" s="20" t="str">
        <f>IF(G100=0,"Unpaid",IF(ABS(H100)&lt;=Summary!$B$4,"Paid",IF(H100&gt;Summary!$B$4,"Short Pay",IF(AND(G100&gt;=2,OR(ABS(F100-2*E100)&lt;=Summary!$B$4,ABS(F100-3*E100)&lt;=Summary!$B$4,ABS(F100-4*E100)&lt;=Summary!$B$4)),"Duplicate","Overpaid"))))</f>
        <v>Paid</v>
      </c>
    </row>
    <row r="101" spans="1:9" x14ac:dyDescent="0.25">
      <c r="A101" s="6">
        <v>100</v>
      </c>
      <c r="B101" s="6" t="s">
        <v>31</v>
      </c>
      <c r="C101" s="6" t="s">
        <v>134</v>
      </c>
      <c r="D101" s="18">
        <v>46186</v>
      </c>
      <c r="E101" s="19">
        <v>344.12</v>
      </c>
      <c r="F101" s="19">
        <f>SUMIFS(Payments!$E$2:$E$106,Payments!$B$2:$B$106,B101,Payments!$C$2:$C$106,C101)</f>
        <v>688.24</v>
      </c>
      <c r="G101" s="20">
        <f>COUNTIFS(Payments!$B$2:$B$106,B101,Payments!$C$2:$C$106,C101)</f>
        <v>2</v>
      </c>
      <c r="H101" s="19">
        <f t="shared" si="2"/>
        <v>-344.12</v>
      </c>
      <c r="I101" s="20" t="str">
        <f>IF(G101=0,"Unpaid",IF(ABS(H101)&lt;=Summary!$B$4,"Paid",IF(H101&gt;Summary!$B$4,"Short Pay",IF(AND(G101&gt;=2,OR(ABS(F101-2*E101)&lt;=Summary!$B$4,ABS(F101-3*E101)&lt;=Summary!$B$4,ABS(F101-4*E101)&lt;=Summary!$B$4)),"Duplicate","Overpaid"))))</f>
        <v>Duplicate</v>
      </c>
    </row>
  </sheetData>
  <autoFilter ref="A1:I101" xr:uid="{00000000-0009-0000-0000-000001000000}"/>
  <conditionalFormatting sqref="I2:I101">
    <cfRule type="cellIs" dxfId="5" priority="1" operator="equal">
      <formula>"Unpaid"</formula>
    </cfRule>
    <cfRule type="cellIs" dxfId="4" priority="2" operator="equal">
      <formula>"Short Pay"</formula>
    </cfRule>
    <cfRule type="cellIs" dxfId="3" priority="3" operator="equal">
      <formula>"Overpaid"</formula>
    </cfRule>
    <cfRule type="cellIs" dxfId="2" priority="4" operator="equal">
      <formula>"Duplicate"</formula>
    </cfRule>
    <cfRule type="cellIs" dxfId="1" priority="5" operator="equal">
      <formula>"Paid"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0" customWidth="1"/>
    <col min="3" max="4" width="13" customWidth="1"/>
    <col min="5" max="5" width="15" customWidth="1"/>
    <col min="6" max="6" width="12" customWidth="1"/>
    <col min="7" max="7" width="14" customWidth="1"/>
  </cols>
  <sheetData>
    <row r="1" spans="1:7" ht="25.5" x14ac:dyDescent="0.25">
      <c r="A1" s="17" t="s">
        <v>135</v>
      </c>
      <c r="B1" s="17" t="s">
        <v>24</v>
      </c>
      <c r="C1" s="17" t="s">
        <v>25</v>
      </c>
      <c r="D1" s="17" t="s">
        <v>136</v>
      </c>
      <c r="E1" s="17" t="s">
        <v>137</v>
      </c>
      <c r="F1" s="17" t="s">
        <v>138</v>
      </c>
      <c r="G1" s="17" t="s">
        <v>139</v>
      </c>
    </row>
    <row r="2" spans="1:7" x14ac:dyDescent="0.25">
      <c r="A2" s="6">
        <v>1</v>
      </c>
      <c r="B2" s="6" t="s">
        <v>35</v>
      </c>
      <c r="C2" s="6" t="s">
        <v>36</v>
      </c>
      <c r="D2" s="18">
        <v>46213</v>
      </c>
      <c r="E2" s="19">
        <v>1775.13</v>
      </c>
      <c r="F2" s="6" t="s">
        <v>140</v>
      </c>
      <c r="G2" s="20" t="str">
        <f>IF(COUNTIFS(Reconciliation!$B$2:$B$101,B2,Reconciliation!$C$2:$C$101,C2)=0,"Unapplied","Applied")</f>
        <v>Applied</v>
      </c>
    </row>
    <row r="3" spans="1:7" x14ac:dyDescent="0.25">
      <c r="A3" s="6">
        <v>2</v>
      </c>
      <c r="B3" s="6" t="s">
        <v>35</v>
      </c>
      <c r="C3" s="6" t="s">
        <v>141</v>
      </c>
      <c r="D3" s="18">
        <v>46203</v>
      </c>
      <c r="E3" s="19">
        <v>114.29</v>
      </c>
      <c r="F3" s="6" t="s">
        <v>142</v>
      </c>
      <c r="G3" s="20" t="str">
        <f>IF(COUNTIFS(Reconciliation!$B$2:$B$101,B3,Reconciliation!$C$2:$C$101,C3)=0,"Unapplied","Applied")</f>
        <v>Unapplied</v>
      </c>
    </row>
    <row r="4" spans="1:7" x14ac:dyDescent="0.25">
      <c r="A4" s="6">
        <v>3</v>
      </c>
      <c r="B4" s="6" t="s">
        <v>31</v>
      </c>
      <c r="C4" s="6" t="s">
        <v>37</v>
      </c>
      <c r="D4" s="18">
        <v>46204</v>
      </c>
      <c r="E4" s="19">
        <v>1502.73</v>
      </c>
      <c r="F4" s="6" t="s">
        <v>143</v>
      </c>
      <c r="G4" s="20" t="str">
        <f>IF(COUNTIFS(Reconciliation!$B$2:$B$101,B4,Reconciliation!$C$2:$C$101,C4)=0,"Unapplied","Applied")</f>
        <v>Applied</v>
      </c>
    </row>
    <row r="5" spans="1:7" x14ac:dyDescent="0.25">
      <c r="A5" s="6">
        <v>4</v>
      </c>
      <c r="B5" s="6" t="s">
        <v>35</v>
      </c>
      <c r="C5" s="6" t="s">
        <v>38</v>
      </c>
      <c r="D5" s="18">
        <v>46195</v>
      </c>
      <c r="E5" s="19">
        <v>1161.1199999999999</v>
      </c>
      <c r="F5" s="6" t="s">
        <v>144</v>
      </c>
      <c r="G5" s="20" t="str">
        <f>IF(COUNTIFS(Reconciliation!$B$2:$B$101,B5,Reconciliation!$C$2:$C$101,C5)=0,"Unapplied","Applied")</f>
        <v>Applied</v>
      </c>
    </row>
    <row r="6" spans="1:7" x14ac:dyDescent="0.25">
      <c r="A6" s="6">
        <v>5</v>
      </c>
      <c r="B6" s="6" t="s">
        <v>40</v>
      </c>
      <c r="C6" s="6" t="s">
        <v>41</v>
      </c>
      <c r="D6" s="18">
        <v>46197</v>
      </c>
      <c r="E6" s="19">
        <v>348.04</v>
      </c>
      <c r="F6" s="6" t="s">
        <v>145</v>
      </c>
      <c r="G6" s="20" t="str">
        <f>IF(COUNTIFS(Reconciliation!$B$2:$B$101,B6,Reconciliation!$C$2:$C$101,C6)=0,"Unapplied","Applied")</f>
        <v>Applied</v>
      </c>
    </row>
    <row r="7" spans="1:7" x14ac:dyDescent="0.25">
      <c r="A7" s="6">
        <v>6</v>
      </c>
      <c r="B7" s="6" t="s">
        <v>40</v>
      </c>
      <c r="C7" s="6" t="s">
        <v>42</v>
      </c>
      <c r="D7" s="18">
        <v>46206</v>
      </c>
      <c r="E7" s="19">
        <v>1039.6099999999999</v>
      </c>
      <c r="F7" s="6" t="s">
        <v>146</v>
      </c>
      <c r="G7" s="20" t="str">
        <f>IF(COUNTIFS(Reconciliation!$B$2:$B$101,B7,Reconciliation!$C$2:$C$101,C7)=0,"Unapplied","Applied")</f>
        <v>Applied</v>
      </c>
    </row>
    <row r="8" spans="1:7" x14ac:dyDescent="0.25">
      <c r="A8" s="6">
        <v>7</v>
      </c>
      <c r="B8" s="6" t="s">
        <v>40</v>
      </c>
      <c r="C8" s="6" t="s">
        <v>43</v>
      </c>
      <c r="D8" s="18">
        <v>46190</v>
      </c>
      <c r="E8" s="19">
        <v>1376.55</v>
      </c>
      <c r="F8" s="6" t="s">
        <v>147</v>
      </c>
      <c r="G8" s="20" t="str">
        <f>IF(COUNTIFS(Reconciliation!$B$2:$B$101,B8,Reconciliation!$C$2:$C$101,C8)=0,"Unapplied","Applied")</f>
        <v>Applied</v>
      </c>
    </row>
    <row r="9" spans="1:7" x14ac:dyDescent="0.25">
      <c r="A9" s="6">
        <v>8</v>
      </c>
      <c r="B9" s="6" t="s">
        <v>33</v>
      </c>
      <c r="C9" s="6" t="s">
        <v>44</v>
      </c>
      <c r="D9" s="18">
        <v>46192</v>
      </c>
      <c r="E9" s="19">
        <v>291.48</v>
      </c>
      <c r="F9" s="6" t="s">
        <v>148</v>
      </c>
      <c r="G9" s="20" t="str">
        <f>IF(COUNTIFS(Reconciliation!$B$2:$B$101,B9,Reconciliation!$C$2:$C$101,C9)=0,"Unapplied","Applied")</f>
        <v>Applied</v>
      </c>
    </row>
    <row r="10" spans="1:7" x14ac:dyDescent="0.25">
      <c r="A10" s="6">
        <v>9</v>
      </c>
      <c r="B10" s="6" t="s">
        <v>33</v>
      </c>
      <c r="C10" s="6" t="s">
        <v>45</v>
      </c>
      <c r="D10" s="18">
        <v>46206</v>
      </c>
      <c r="E10" s="19">
        <v>2129.3200000000002</v>
      </c>
      <c r="F10" s="6" t="s">
        <v>149</v>
      </c>
      <c r="G10" s="20" t="str">
        <f>IF(COUNTIFS(Reconciliation!$B$2:$B$101,B10,Reconciliation!$C$2:$C$101,C10)=0,"Unapplied","Applied")</f>
        <v>Applied</v>
      </c>
    </row>
    <row r="11" spans="1:7" x14ac:dyDescent="0.25">
      <c r="A11" s="6">
        <v>10</v>
      </c>
      <c r="B11" s="6" t="s">
        <v>33</v>
      </c>
      <c r="C11" s="6" t="s">
        <v>46</v>
      </c>
      <c r="D11" s="18">
        <v>46201</v>
      </c>
      <c r="E11" s="19">
        <v>1691.26</v>
      </c>
      <c r="F11" s="6" t="s">
        <v>150</v>
      </c>
      <c r="G11" s="20" t="str">
        <f>IF(COUNTIFS(Reconciliation!$B$2:$B$101,B11,Reconciliation!$C$2:$C$101,C11)=0,"Unapplied","Applied")</f>
        <v>Applied</v>
      </c>
    </row>
    <row r="12" spans="1:7" x14ac:dyDescent="0.25">
      <c r="A12" s="6">
        <v>11</v>
      </c>
      <c r="B12" s="6" t="s">
        <v>31</v>
      </c>
      <c r="C12" s="6" t="s">
        <v>47</v>
      </c>
      <c r="D12" s="18">
        <v>46184</v>
      </c>
      <c r="E12" s="19">
        <v>557.66</v>
      </c>
      <c r="F12" s="6" t="s">
        <v>151</v>
      </c>
      <c r="G12" s="20" t="str">
        <f>IF(COUNTIFS(Reconciliation!$B$2:$B$101,B12,Reconciliation!$C$2:$C$101,C12)=0,"Unapplied","Applied")</f>
        <v>Applied</v>
      </c>
    </row>
    <row r="13" spans="1:7" x14ac:dyDescent="0.25">
      <c r="A13" s="6">
        <v>12</v>
      </c>
      <c r="B13" s="6" t="s">
        <v>33</v>
      </c>
      <c r="C13" s="6" t="s">
        <v>48</v>
      </c>
      <c r="D13" s="18">
        <v>46191</v>
      </c>
      <c r="E13" s="19">
        <v>874.06</v>
      </c>
      <c r="F13" s="6" t="s">
        <v>152</v>
      </c>
      <c r="G13" s="20" t="str">
        <f>IF(COUNTIFS(Reconciliation!$B$2:$B$101,B13,Reconciliation!$C$2:$C$101,C13)=0,"Unapplied","Applied")</f>
        <v>Applied</v>
      </c>
    </row>
    <row r="14" spans="1:7" x14ac:dyDescent="0.25">
      <c r="A14" s="6">
        <v>13</v>
      </c>
      <c r="B14" s="6" t="s">
        <v>31</v>
      </c>
      <c r="C14" s="6" t="s">
        <v>49</v>
      </c>
      <c r="D14" s="18">
        <v>46209</v>
      </c>
      <c r="E14" s="19">
        <v>194.21</v>
      </c>
      <c r="F14" s="6" t="s">
        <v>153</v>
      </c>
      <c r="G14" s="20" t="str">
        <f>IF(COUNTIFS(Reconciliation!$B$2:$B$101,B14,Reconciliation!$C$2:$C$101,C14)=0,"Unapplied","Applied")</f>
        <v>Applied</v>
      </c>
    </row>
    <row r="15" spans="1:7" x14ac:dyDescent="0.25">
      <c r="A15" s="6">
        <v>14</v>
      </c>
      <c r="B15" s="6" t="s">
        <v>31</v>
      </c>
      <c r="C15" s="6" t="s">
        <v>52</v>
      </c>
      <c r="D15" s="18">
        <v>46199</v>
      </c>
      <c r="E15" s="19">
        <v>300.36</v>
      </c>
      <c r="F15" s="6" t="s">
        <v>154</v>
      </c>
      <c r="G15" s="20" t="str">
        <f>IF(COUNTIFS(Reconciliation!$B$2:$B$101,B15,Reconciliation!$C$2:$C$101,C15)=0,"Unapplied","Applied")</f>
        <v>Applied</v>
      </c>
    </row>
    <row r="16" spans="1:7" x14ac:dyDescent="0.25">
      <c r="A16" s="6">
        <v>15</v>
      </c>
      <c r="B16" s="6" t="s">
        <v>31</v>
      </c>
      <c r="C16" s="6" t="s">
        <v>155</v>
      </c>
      <c r="D16" s="18">
        <v>46207</v>
      </c>
      <c r="E16" s="19">
        <v>169.28</v>
      </c>
      <c r="F16" s="6" t="s">
        <v>156</v>
      </c>
      <c r="G16" s="20" t="str">
        <f>IF(COUNTIFS(Reconciliation!$B$2:$B$101,B16,Reconciliation!$C$2:$C$101,C16)=0,"Unapplied","Applied")</f>
        <v>Unapplied</v>
      </c>
    </row>
    <row r="17" spans="1:7" x14ac:dyDescent="0.25">
      <c r="A17" s="6">
        <v>16</v>
      </c>
      <c r="B17" s="6" t="s">
        <v>31</v>
      </c>
      <c r="C17" s="6" t="s">
        <v>53</v>
      </c>
      <c r="D17" s="18">
        <v>46209</v>
      </c>
      <c r="E17" s="19">
        <v>2294.12</v>
      </c>
      <c r="F17" s="6" t="s">
        <v>157</v>
      </c>
      <c r="G17" s="20" t="str">
        <f>IF(COUNTIFS(Reconciliation!$B$2:$B$101,B17,Reconciliation!$C$2:$C$101,C17)=0,"Unapplied","Applied")</f>
        <v>Applied</v>
      </c>
    </row>
    <row r="18" spans="1:7" x14ac:dyDescent="0.25">
      <c r="A18" s="6">
        <v>17</v>
      </c>
      <c r="B18" s="6" t="s">
        <v>33</v>
      </c>
      <c r="C18" s="6" t="s">
        <v>54</v>
      </c>
      <c r="D18" s="18">
        <v>46211</v>
      </c>
      <c r="E18" s="19">
        <v>828.03</v>
      </c>
      <c r="F18" s="6" t="s">
        <v>158</v>
      </c>
      <c r="G18" s="20" t="str">
        <f>IF(COUNTIFS(Reconciliation!$B$2:$B$101,B18,Reconciliation!$C$2:$C$101,C18)=0,"Unapplied","Applied")</f>
        <v>Applied</v>
      </c>
    </row>
    <row r="19" spans="1:7" x14ac:dyDescent="0.25">
      <c r="A19" s="6">
        <v>18</v>
      </c>
      <c r="B19" s="6" t="s">
        <v>35</v>
      </c>
      <c r="C19" s="6" t="s">
        <v>55</v>
      </c>
      <c r="D19" s="18">
        <v>46196</v>
      </c>
      <c r="E19" s="19">
        <v>1804.25</v>
      </c>
      <c r="F19" s="6" t="s">
        <v>159</v>
      </c>
      <c r="G19" s="20" t="str">
        <f>IF(COUNTIFS(Reconciliation!$B$2:$B$101,B19,Reconciliation!$C$2:$C$101,C19)=0,"Unapplied","Applied")</f>
        <v>Applied</v>
      </c>
    </row>
    <row r="20" spans="1:7" x14ac:dyDescent="0.25">
      <c r="A20" s="6">
        <v>19</v>
      </c>
      <c r="B20" s="6" t="s">
        <v>31</v>
      </c>
      <c r="C20" s="6" t="s">
        <v>56</v>
      </c>
      <c r="D20" s="18">
        <v>46189</v>
      </c>
      <c r="E20" s="19">
        <v>488.16</v>
      </c>
      <c r="F20" s="6" t="s">
        <v>160</v>
      </c>
      <c r="G20" s="20" t="str">
        <f>IF(COUNTIFS(Reconciliation!$B$2:$B$101,B20,Reconciliation!$C$2:$C$101,C20)=0,"Unapplied","Applied")</f>
        <v>Applied</v>
      </c>
    </row>
    <row r="21" spans="1:7" x14ac:dyDescent="0.25">
      <c r="A21" s="6">
        <v>20</v>
      </c>
      <c r="B21" s="6" t="s">
        <v>31</v>
      </c>
      <c r="C21" s="6" t="s">
        <v>57</v>
      </c>
      <c r="D21" s="18">
        <v>46181</v>
      </c>
      <c r="E21" s="19">
        <v>1197.46</v>
      </c>
      <c r="F21" s="6" t="s">
        <v>161</v>
      </c>
      <c r="G21" s="20" t="str">
        <f>IF(COUNTIFS(Reconciliation!$B$2:$B$101,B21,Reconciliation!$C$2:$C$101,C21)=0,"Unapplied","Applied")</f>
        <v>Applied</v>
      </c>
    </row>
    <row r="22" spans="1:7" x14ac:dyDescent="0.25">
      <c r="A22" s="6">
        <v>21</v>
      </c>
      <c r="B22" s="6" t="s">
        <v>40</v>
      </c>
      <c r="C22" s="6" t="s">
        <v>58</v>
      </c>
      <c r="D22" s="18">
        <v>46208</v>
      </c>
      <c r="E22" s="19">
        <v>496.44</v>
      </c>
      <c r="F22" s="6" t="s">
        <v>162</v>
      </c>
      <c r="G22" s="20" t="str">
        <f>IF(COUNTIFS(Reconciliation!$B$2:$B$101,B22,Reconciliation!$C$2:$C$101,C22)=0,"Unapplied","Applied")</f>
        <v>Applied</v>
      </c>
    </row>
    <row r="23" spans="1:7" x14ac:dyDescent="0.25">
      <c r="A23" s="6">
        <v>22</v>
      </c>
      <c r="B23" s="6" t="s">
        <v>40</v>
      </c>
      <c r="C23" s="6" t="s">
        <v>163</v>
      </c>
      <c r="D23" s="18">
        <v>46209</v>
      </c>
      <c r="E23" s="19">
        <v>436.84</v>
      </c>
      <c r="F23" s="6" t="s">
        <v>164</v>
      </c>
      <c r="G23" s="20" t="str">
        <f>IF(COUNTIFS(Reconciliation!$B$2:$B$101,B23,Reconciliation!$C$2:$C$101,C23)=0,"Unapplied","Applied")</f>
        <v>Unapplied</v>
      </c>
    </row>
    <row r="24" spans="1:7" x14ac:dyDescent="0.25">
      <c r="A24" s="6">
        <v>23</v>
      </c>
      <c r="B24" s="6" t="s">
        <v>31</v>
      </c>
      <c r="C24" s="6" t="s">
        <v>59</v>
      </c>
      <c r="D24" s="18">
        <v>46200</v>
      </c>
      <c r="E24" s="19">
        <v>593.03</v>
      </c>
      <c r="F24" s="6" t="s">
        <v>165</v>
      </c>
      <c r="G24" s="20" t="str">
        <f>IF(COUNTIFS(Reconciliation!$B$2:$B$101,B24,Reconciliation!$C$2:$C$101,C24)=0,"Unapplied","Applied")</f>
        <v>Applied</v>
      </c>
    </row>
    <row r="25" spans="1:7" x14ac:dyDescent="0.25">
      <c r="A25" s="6">
        <v>24</v>
      </c>
      <c r="B25" s="6" t="s">
        <v>31</v>
      </c>
      <c r="C25" s="6" t="s">
        <v>59</v>
      </c>
      <c r="D25" s="18">
        <v>46198</v>
      </c>
      <c r="E25" s="19">
        <v>593.03</v>
      </c>
      <c r="F25" s="6" t="s">
        <v>166</v>
      </c>
      <c r="G25" s="20" t="str">
        <f>IF(COUNTIFS(Reconciliation!$B$2:$B$101,B25,Reconciliation!$C$2:$C$101,C25)=0,"Unapplied","Applied")</f>
        <v>Applied</v>
      </c>
    </row>
    <row r="26" spans="1:7" x14ac:dyDescent="0.25">
      <c r="A26" s="6">
        <v>25</v>
      </c>
      <c r="B26" s="6" t="s">
        <v>35</v>
      </c>
      <c r="C26" s="6" t="s">
        <v>61</v>
      </c>
      <c r="D26" s="18">
        <v>46195</v>
      </c>
      <c r="E26" s="19">
        <v>421.3</v>
      </c>
      <c r="F26" s="6" t="s">
        <v>167</v>
      </c>
      <c r="G26" s="20" t="str">
        <f>IF(COUNTIFS(Reconciliation!$B$2:$B$101,B26,Reconciliation!$C$2:$C$101,C26)=0,"Unapplied","Applied")</f>
        <v>Applied</v>
      </c>
    </row>
    <row r="27" spans="1:7" x14ac:dyDescent="0.25">
      <c r="A27" s="6">
        <v>26</v>
      </c>
      <c r="B27" s="6" t="s">
        <v>35</v>
      </c>
      <c r="C27" s="6" t="s">
        <v>61</v>
      </c>
      <c r="D27" s="18">
        <v>46193</v>
      </c>
      <c r="E27" s="19">
        <v>421.3</v>
      </c>
      <c r="F27" s="6" t="s">
        <v>168</v>
      </c>
      <c r="G27" s="20" t="str">
        <f>IF(COUNTIFS(Reconciliation!$B$2:$B$101,B27,Reconciliation!$C$2:$C$101,C27)=0,"Unapplied","Applied")</f>
        <v>Applied</v>
      </c>
    </row>
    <row r="28" spans="1:7" x14ac:dyDescent="0.25">
      <c r="A28" s="6">
        <v>27</v>
      </c>
      <c r="B28" s="6" t="s">
        <v>35</v>
      </c>
      <c r="C28" s="6" t="s">
        <v>62</v>
      </c>
      <c r="D28" s="18">
        <v>46207</v>
      </c>
      <c r="E28" s="19">
        <v>851.65</v>
      </c>
      <c r="F28" s="6" t="s">
        <v>169</v>
      </c>
      <c r="G28" s="20" t="str">
        <f>IF(COUNTIFS(Reconciliation!$B$2:$B$101,B28,Reconciliation!$C$2:$C$101,C28)=0,"Unapplied","Applied")</f>
        <v>Applied</v>
      </c>
    </row>
    <row r="29" spans="1:7" x14ac:dyDescent="0.25">
      <c r="A29" s="6">
        <v>28</v>
      </c>
      <c r="B29" s="6" t="s">
        <v>40</v>
      </c>
      <c r="C29" s="6" t="s">
        <v>63</v>
      </c>
      <c r="D29" s="18">
        <v>46212</v>
      </c>
      <c r="E29" s="19">
        <v>168.19</v>
      </c>
      <c r="F29" s="6" t="s">
        <v>170</v>
      </c>
      <c r="G29" s="20" t="str">
        <f>IF(COUNTIFS(Reconciliation!$B$2:$B$101,B29,Reconciliation!$C$2:$C$101,C29)=0,"Unapplied","Applied")</f>
        <v>Applied</v>
      </c>
    </row>
    <row r="30" spans="1:7" x14ac:dyDescent="0.25">
      <c r="A30" s="6">
        <v>29</v>
      </c>
      <c r="B30" s="6" t="s">
        <v>40</v>
      </c>
      <c r="C30" s="6" t="s">
        <v>63</v>
      </c>
      <c r="D30" s="18">
        <v>46205</v>
      </c>
      <c r="E30" s="19">
        <v>168.19</v>
      </c>
      <c r="F30" s="6" t="s">
        <v>171</v>
      </c>
      <c r="G30" s="20" t="str">
        <f>IF(COUNTIFS(Reconciliation!$B$2:$B$101,B30,Reconciliation!$C$2:$C$101,C30)=0,"Unapplied","Applied")</f>
        <v>Applied</v>
      </c>
    </row>
    <row r="31" spans="1:7" x14ac:dyDescent="0.25">
      <c r="A31" s="6">
        <v>30</v>
      </c>
      <c r="B31" s="6" t="s">
        <v>31</v>
      </c>
      <c r="C31" s="6" t="s">
        <v>64</v>
      </c>
      <c r="D31" s="18">
        <v>46210</v>
      </c>
      <c r="E31" s="19">
        <v>423.6</v>
      </c>
      <c r="F31" s="6" t="s">
        <v>172</v>
      </c>
      <c r="G31" s="20" t="str">
        <f>IF(COUNTIFS(Reconciliation!$B$2:$B$101,B31,Reconciliation!$C$2:$C$101,C31)=0,"Unapplied","Applied")</f>
        <v>Applied</v>
      </c>
    </row>
    <row r="32" spans="1:7" x14ac:dyDescent="0.25">
      <c r="A32" s="6">
        <v>31</v>
      </c>
      <c r="B32" s="6" t="s">
        <v>31</v>
      </c>
      <c r="C32" s="6" t="s">
        <v>65</v>
      </c>
      <c r="D32" s="18">
        <v>46201</v>
      </c>
      <c r="E32" s="19">
        <v>872.67</v>
      </c>
      <c r="F32" s="6" t="s">
        <v>173</v>
      </c>
      <c r="G32" s="20" t="str">
        <f>IF(COUNTIFS(Reconciliation!$B$2:$B$101,B32,Reconciliation!$C$2:$C$101,C32)=0,"Unapplied","Applied")</f>
        <v>Applied</v>
      </c>
    </row>
    <row r="33" spans="1:7" x14ac:dyDescent="0.25">
      <c r="A33" s="6">
        <v>32</v>
      </c>
      <c r="B33" s="6" t="s">
        <v>35</v>
      </c>
      <c r="C33" s="6" t="s">
        <v>67</v>
      </c>
      <c r="D33" s="18">
        <v>46207</v>
      </c>
      <c r="E33" s="19">
        <v>1170.67</v>
      </c>
      <c r="F33" s="6" t="s">
        <v>174</v>
      </c>
      <c r="G33" s="20" t="str">
        <f>IF(COUNTIFS(Reconciliation!$B$2:$B$101,B33,Reconciliation!$C$2:$C$101,C33)=0,"Unapplied","Applied")</f>
        <v>Applied</v>
      </c>
    </row>
    <row r="34" spans="1:7" x14ac:dyDescent="0.25">
      <c r="A34" s="6">
        <v>33</v>
      </c>
      <c r="B34" s="6" t="s">
        <v>40</v>
      </c>
      <c r="C34" s="6" t="s">
        <v>68</v>
      </c>
      <c r="D34" s="18">
        <v>46215</v>
      </c>
      <c r="E34" s="19">
        <v>1554.4</v>
      </c>
      <c r="F34" s="6" t="s">
        <v>175</v>
      </c>
      <c r="G34" s="20" t="str">
        <f>IF(COUNTIFS(Reconciliation!$B$2:$B$101,B34,Reconciliation!$C$2:$C$101,C34)=0,"Unapplied","Applied")</f>
        <v>Applied</v>
      </c>
    </row>
    <row r="35" spans="1:7" x14ac:dyDescent="0.25">
      <c r="A35" s="6">
        <v>34</v>
      </c>
      <c r="B35" s="6" t="s">
        <v>31</v>
      </c>
      <c r="C35" s="6" t="s">
        <v>69</v>
      </c>
      <c r="D35" s="18">
        <v>46206</v>
      </c>
      <c r="E35" s="19">
        <v>929.66</v>
      </c>
      <c r="F35" s="6" t="s">
        <v>176</v>
      </c>
      <c r="G35" s="20" t="str">
        <f>IF(COUNTIFS(Reconciliation!$B$2:$B$101,B35,Reconciliation!$C$2:$C$101,C35)=0,"Unapplied","Applied")</f>
        <v>Applied</v>
      </c>
    </row>
    <row r="36" spans="1:7" x14ac:dyDescent="0.25">
      <c r="A36" s="6">
        <v>35</v>
      </c>
      <c r="B36" s="6" t="s">
        <v>35</v>
      </c>
      <c r="C36" s="6" t="s">
        <v>71</v>
      </c>
      <c r="D36" s="18">
        <v>46218</v>
      </c>
      <c r="E36" s="19">
        <v>567.15</v>
      </c>
      <c r="F36" s="6" t="s">
        <v>177</v>
      </c>
      <c r="G36" s="20" t="str">
        <f>IF(COUNTIFS(Reconciliation!$B$2:$B$101,B36,Reconciliation!$C$2:$C$101,C36)=0,"Unapplied","Applied")</f>
        <v>Applied</v>
      </c>
    </row>
    <row r="37" spans="1:7" x14ac:dyDescent="0.25">
      <c r="A37" s="6">
        <v>36</v>
      </c>
      <c r="B37" s="6" t="s">
        <v>35</v>
      </c>
      <c r="C37" s="6" t="s">
        <v>178</v>
      </c>
      <c r="D37" s="18">
        <v>46219</v>
      </c>
      <c r="E37" s="19">
        <v>178.36</v>
      </c>
      <c r="F37" s="6" t="s">
        <v>179</v>
      </c>
      <c r="G37" s="20" t="str">
        <f>IF(COUNTIFS(Reconciliation!$B$2:$B$101,B37,Reconciliation!$C$2:$C$101,C37)=0,"Unapplied","Applied")</f>
        <v>Unapplied</v>
      </c>
    </row>
    <row r="38" spans="1:7" x14ac:dyDescent="0.25">
      <c r="A38" s="6">
        <v>37</v>
      </c>
      <c r="B38" s="6" t="s">
        <v>40</v>
      </c>
      <c r="C38" s="6" t="s">
        <v>73</v>
      </c>
      <c r="D38" s="18">
        <v>46197</v>
      </c>
      <c r="E38" s="19">
        <v>1179.4000000000001</v>
      </c>
      <c r="F38" s="6" t="s">
        <v>180</v>
      </c>
      <c r="G38" s="20" t="str">
        <f>IF(COUNTIFS(Reconciliation!$B$2:$B$101,B38,Reconciliation!$C$2:$C$101,C38)=0,"Unapplied","Applied")</f>
        <v>Applied</v>
      </c>
    </row>
    <row r="39" spans="1:7" x14ac:dyDescent="0.25">
      <c r="A39" s="6">
        <v>38</v>
      </c>
      <c r="B39" s="6" t="s">
        <v>40</v>
      </c>
      <c r="C39" s="6" t="s">
        <v>73</v>
      </c>
      <c r="D39" s="18">
        <v>46206</v>
      </c>
      <c r="E39" s="19">
        <v>1179.4000000000001</v>
      </c>
      <c r="F39" s="6" t="s">
        <v>181</v>
      </c>
      <c r="G39" s="20" t="str">
        <f>IF(COUNTIFS(Reconciliation!$B$2:$B$101,B39,Reconciliation!$C$2:$C$101,C39)=0,"Unapplied","Applied")</f>
        <v>Applied</v>
      </c>
    </row>
    <row r="40" spans="1:7" x14ac:dyDescent="0.25">
      <c r="A40" s="6">
        <v>39</v>
      </c>
      <c r="B40" s="6" t="s">
        <v>40</v>
      </c>
      <c r="C40" s="6" t="s">
        <v>74</v>
      </c>
      <c r="D40" s="18">
        <v>46199</v>
      </c>
      <c r="E40" s="19">
        <v>147.78</v>
      </c>
      <c r="F40" s="6" t="s">
        <v>182</v>
      </c>
      <c r="G40" s="20" t="str">
        <f>IF(COUNTIFS(Reconciliation!$B$2:$B$101,B40,Reconciliation!$C$2:$C$101,C40)=0,"Unapplied","Applied")</f>
        <v>Applied</v>
      </c>
    </row>
    <row r="41" spans="1:7" x14ac:dyDescent="0.25">
      <c r="A41" s="6">
        <v>40</v>
      </c>
      <c r="B41" s="6" t="s">
        <v>40</v>
      </c>
      <c r="C41" s="6" t="s">
        <v>75</v>
      </c>
      <c r="D41" s="18">
        <v>46186</v>
      </c>
      <c r="E41" s="19">
        <v>1923.52</v>
      </c>
      <c r="F41" s="6" t="s">
        <v>183</v>
      </c>
      <c r="G41" s="20" t="str">
        <f>IF(COUNTIFS(Reconciliation!$B$2:$B$101,B41,Reconciliation!$C$2:$C$101,C41)=0,"Unapplied","Applied")</f>
        <v>Applied</v>
      </c>
    </row>
    <row r="42" spans="1:7" x14ac:dyDescent="0.25">
      <c r="A42" s="6">
        <v>41</v>
      </c>
      <c r="B42" s="6" t="s">
        <v>40</v>
      </c>
      <c r="C42" s="6" t="s">
        <v>76</v>
      </c>
      <c r="D42" s="18">
        <v>46207</v>
      </c>
      <c r="E42" s="19">
        <v>1210.32</v>
      </c>
      <c r="F42" s="6" t="s">
        <v>184</v>
      </c>
      <c r="G42" s="20" t="str">
        <f>IF(COUNTIFS(Reconciliation!$B$2:$B$101,B42,Reconciliation!$C$2:$C$101,C42)=0,"Unapplied","Applied")</f>
        <v>Applied</v>
      </c>
    </row>
    <row r="43" spans="1:7" x14ac:dyDescent="0.25">
      <c r="A43" s="6">
        <v>42</v>
      </c>
      <c r="B43" s="6" t="s">
        <v>35</v>
      </c>
      <c r="C43" s="6" t="s">
        <v>77</v>
      </c>
      <c r="D43" s="18">
        <v>46214</v>
      </c>
      <c r="E43" s="19">
        <v>283.77999999999997</v>
      </c>
      <c r="F43" s="6" t="s">
        <v>185</v>
      </c>
      <c r="G43" s="20" t="str">
        <f>IF(COUNTIFS(Reconciliation!$B$2:$B$101,B43,Reconciliation!$C$2:$C$101,C43)=0,"Unapplied","Applied")</f>
        <v>Applied</v>
      </c>
    </row>
    <row r="44" spans="1:7" x14ac:dyDescent="0.25">
      <c r="A44" s="6">
        <v>43</v>
      </c>
      <c r="B44" s="6" t="s">
        <v>33</v>
      </c>
      <c r="C44" s="6" t="s">
        <v>79</v>
      </c>
      <c r="D44" s="18">
        <v>46195</v>
      </c>
      <c r="E44" s="19">
        <v>1872.68</v>
      </c>
      <c r="F44" s="6" t="s">
        <v>186</v>
      </c>
      <c r="G44" s="20" t="str">
        <f>IF(COUNTIFS(Reconciliation!$B$2:$B$101,B44,Reconciliation!$C$2:$C$101,C44)=0,"Unapplied","Applied")</f>
        <v>Applied</v>
      </c>
    </row>
    <row r="45" spans="1:7" x14ac:dyDescent="0.25">
      <c r="A45" s="6">
        <v>44</v>
      </c>
      <c r="B45" s="6" t="s">
        <v>31</v>
      </c>
      <c r="C45" s="6" t="s">
        <v>80</v>
      </c>
      <c r="D45" s="18">
        <v>46192</v>
      </c>
      <c r="E45" s="19">
        <v>436.57</v>
      </c>
      <c r="F45" s="6" t="s">
        <v>187</v>
      </c>
      <c r="G45" s="20" t="str">
        <f>IF(COUNTIFS(Reconciliation!$B$2:$B$101,B45,Reconciliation!$C$2:$C$101,C45)=0,"Unapplied","Applied")</f>
        <v>Applied</v>
      </c>
    </row>
    <row r="46" spans="1:7" x14ac:dyDescent="0.25">
      <c r="A46" s="6">
        <v>45</v>
      </c>
      <c r="B46" s="6" t="s">
        <v>35</v>
      </c>
      <c r="C46" s="6" t="s">
        <v>81</v>
      </c>
      <c r="D46" s="18">
        <v>46203</v>
      </c>
      <c r="E46" s="19">
        <v>582.76</v>
      </c>
      <c r="F46" s="6" t="s">
        <v>188</v>
      </c>
      <c r="G46" s="20" t="str">
        <f>IF(COUNTIFS(Reconciliation!$B$2:$B$101,B46,Reconciliation!$C$2:$C$101,C46)=0,"Unapplied","Applied")</f>
        <v>Applied</v>
      </c>
    </row>
    <row r="47" spans="1:7" x14ac:dyDescent="0.25">
      <c r="A47" s="6">
        <v>46</v>
      </c>
      <c r="B47" s="6" t="s">
        <v>35</v>
      </c>
      <c r="C47" s="6" t="s">
        <v>82</v>
      </c>
      <c r="D47" s="18">
        <v>46199</v>
      </c>
      <c r="E47" s="19">
        <v>1133.1600000000001</v>
      </c>
      <c r="F47" s="6" t="s">
        <v>189</v>
      </c>
      <c r="G47" s="20" t="str">
        <f>IF(COUNTIFS(Reconciliation!$B$2:$B$101,B47,Reconciliation!$C$2:$C$101,C47)=0,"Unapplied","Applied")</f>
        <v>Applied</v>
      </c>
    </row>
    <row r="48" spans="1:7" x14ac:dyDescent="0.25">
      <c r="A48" s="6">
        <v>47</v>
      </c>
      <c r="B48" s="6" t="s">
        <v>31</v>
      </c>
      <c r="C48" s="6" t="s">
        <v>83</v>
      </c>
      <c r="D48" s="18">
        <v>46194</v>
      </c>
      <c r="E48" s="19">
        <v>1036.48</v>
      </c>
      <c r="F48" s="6" t="s">
        <v>190</v>
      </c>
      <c r="G48" s="20" t="str">
        <f>IF(COUNTIFS(Reconciliation!$B$2:$B$101,B48,Reconciliation!$C$2:$C$101,C48)=0,"Unapplied","Applied")</f>
        <v>Applied</v>
      </c>
    </row>
    <row r="49" spans="1:7" x14ac:dyDescent="0.25">
      <c r="A49" s="6">
        <v>48</v>
      </c>
      <c r="B49" s="6" t="s">
        <v>40</v>
      </c>
      <c r="C49" s="6" t="s">
        <v>84</v>
      </c>
      <c r="D49" s="18">
        <v>46199</v>
      </c>
      <c r="E49" s="19">
        <v>1764.58</v>
      </c>
      <c r="F49" s="6" t="s">
        <v>191</v>
      </c>
      <c r="G49" s="20" t="str">
        <f>IF(COUNTIFS(Reconciliation!$B$2:$B$101,B49,Reconciliation!$C$2:$C$101,C49)=0,"Unapplied","Applied")</f>
        <v>Applied</v>
      </c>
    </row>
    <row r="50" spans="1:7" x14ac:dyDescent="0.25">
      <c r="A50" s="6">
        <v>49</v>
      </c>
      <c r="B50" s="6" t="s">
        <v>31</v>
      </c>
      <c r="C50" s="6" t="s">
        <v>85</v>
      </c>
      <c r="D50" s="18">
        <v>46205</v>
      </c>
      <c r="E50" s="19">
        <v>904.46</v>
      </c>
      <c r="F50" s="6" t="s">
        <v>192</v>
      </c>
      <c r="G50" s="20" t="str">
        <f>IF(COUNTIFS(Reconciliation!$B$2:$B$101,B50,Reconciliation!$C$2:$C$101,C50)=0,"Unapplied","Applied")</f>
        <v>Applied</v>
      </c>
    </row>
    <row r="51" spans="1:7" x14ac:dyDescent="0.25">
      <c r="A51" s="6">
        <v>50</v>
      </c>
      <c r="B51" s="6" t="s">
        <v>31</v>
      </c>
      <c r="C51" s="6" t="s">
        <v>193</v>
      </c>
      <c r="D51" s="18">
        <v>46196</v>
      </c>
      <c r="E51" s="19">
        <v>325.25</v>
      </c>
      <c r="F51" s="6" t="s">
        <v>194</v>
      </c>
      <c r="G51" s="20" t="str">
        <f>IF(COUNTIFS(Reconciliation!$B$2:$B$101,B51,Reconciliation!$C$2:$C$101,C51)=0,"Unapplied","Applied")</f>
        <v>Unapplied</v>
      </c>
    </row>
    <row r="52" spans="1:7" x14ac:dyDescent="0.25">
      <c r="A52" s="6">
        <v>51</v>
      </c>
      <c r="B52" s="6" t="s">
        <v>31</v>
      </c>
      <c r="C52" s="6" t="s">
        <v>87</v>
      </c>
      <c r="D52" s="18">
        <v>46210</v>
      </c>
      <c r="E52" s="19">
        <v>565.71</v>
      </c>
      <c r="F52" s="6" t="s">
        <v>195</v>
      </c>
      <c r="G52" s="20" t="str">
        <f>IF(COUNTIFS(Reconciliation!$B$2:$B$101,B52,Reconciliation!$C$2:$C$101,C52)=0,"Unapplied","Applied")</f>
        <v>Applied</v>
      </c>
    </row>
    <row r="53" spans="1:7" x14ac:dyDescent="0.25">
      <c r="A53" s="6">
        <v>52</v>
      </c>
      <c r="B53" s="6" t="s">
        <v>31</v>
      </c>
      <c r="C53" s="6" t="s">
        <v>89</v>
      </c>
      <c r="D53" s="18">
        <v>46193</v>
      </c>
      <c r="E53" s="19">
        <v>1449.34</v>
      </c>
      <c r="F53" s="6" t="s">
        <v>196</v>
      </c>
      <c r="G53" s="20" t="str">
        <f>IF(COUNTIFS(Reconciliation!$B$2:$B$101,B53,Reconciliation!$C$2:$C$101,C53)=0,"Unapplied","Applied")</f>
        <v>Applied</v>
      </c>
    </row>
    <row r="54" spans="1:7" x14ac:dyDescent="0.25">
      <c r="A54" s="6">
        <v>53</v>
      </c>
      <c r="B54" s="6" t="s">
        <v>35</v>
      </c>
      <c r="C54" s="6" t="s">
        <v>90</v>
      </c>
      <c r="D54" s="18">
        <v>46209</v>
      </c>
      <c r="E54" s="19">
        <v>539.69000000000005</v>
      </c>
      <c r="F54" s="6" t="s">
        <v>197</v>
      </c>
      <c r="G54" s="20" t="str">
        <f>IF(COUNTIFS(Reconciliation!$B$2:$B$101,B54,Reconciliation!$C$2:$C$101,C54)=0,"Unapplied","Applied")</f>
        <v>Applied</v>
      </c>
    </row>
    <row r="55" spans="1:7" x14ac:dyDescent="0.25">
      <c r="A55" s="6">
        <v>54</v>
      </c>
      <c r="B55" s="6" t="s">
        <v>40</v>
      </c>
      <c r="C55" s="6" t="s">
        <v>91</v>
      </c>
      <c r="D55" s="18">
        <v>46205</v>
      </c>
      <c r="E55" s="19">
        <v>785.84</v>
      </c>
      <c r="F55" s="6" t="s">
        <v>198</v>
      </c>
      <c r="G55" s="20" t="str">
        <f>IF(COUNTIFS(Reconciliation!$B$2:$B$101,B55,Reconciliation!$C$2:$C$101,C55)=0,"Unapplied","Applied")</f>
        <v>Applied</v>
      </c>
    </row>
    <row r="56" spans="1:7" x14ac:dyDescent="0.25">
      <c r="A56" s="6">
        <v>55</v>
      </c>
      <c r="B56" s="6" t="s">
        <v>33</v>
      </c>
      <c r="C56" s="6" t="s">
        <v>92</v>
      </c>
      <c r="D56" s="18">
        <v>46204</v>
      </c>
      <c r="E56" s="19">
        <v>1385.76</v>
      </c>
      <c r="F56" s="6" t="s">
        <v>199</v>
      </c>
      <c r="G56" s="20" t="str">
        <f>IF(COUNTIFS(Reconciliation!$B$2:$B$101,B56,Reconciliation!$C$2:$C$101,C56)=0,"Unapplied","Applied")</f>
        <v>Applied</v>
      </c>
    </row>
    <row r="57" spans="1:7" x14ac:dyDescent="0.25">
      <c r="A57" s="6">
        <v>56</v>
      </c>
      <c r="B57" s="6" t="s">
        <v>35</v>
      </c>
      <c r="C57" s="6" t="s">
        <v>93</v>
      </c>
      <c r="D57" s="18">
        <v>46192</v>
      </c>
      <c r="E57" s="19">
        <v>1125.78</v>
      </c>
      <c r="F57" s="6" t="s">
        <v>200</v>
      </c>
      <c r="G57" s="20" t="str">
        <f>IF(COUNTIFS(Reconciliation!$B$2:$B$101,B57,Reconciliation!$C$2:$C$101,C57)=0,"Unapplied","Applied")</f>
        <v>Applied</v>
      </c>
    </row>
    <row r="58" spans="1:7" x14ac:dyDescent="0.25">
      <c r="A58" s="6">
        <v>57</v>
      </c>
      <c r="B58" s="6" t="s">
        <v>40</v>
      </c>
      <c r="C58" s="6" t="s">
        <v>94</v>
      </c>
      <c r="D58" s="18">
        <v>46211</v>
      </c>
      <c r="E58" s="19">
        <v>152.74</v>
      </c>
      <c r="F58" s="6" t="s">
        <v>201</v>
      </c>
      <c r="G58" s="20" t="str">
        <f>IF(COUNTIFS(Reconciliation!$B$2:$B$101,B58,Reconciliation!$C$2:$C$101,C58)=0,"Unapplied","Applied")</f>
        <v>Applied</v>
      </c>
    </row>
    <row r="59" spans="1:7" x14ac:dyDescent="0.25">
      <c r="A59" s="6">
        <v>58</v>
      </c>
      <c r="B59" s="6" t="s">
        <v>40</v>
      </c>
      <c r="C59" s="6" t="s">
        <v>95</v>
      </c>
      <c r="D59" s="18">
        <v>46201</v>
      </c>
      <c r="E59" s="19">
        <v>1677.46</v>
      </c>
      <c r="F59" s="6" t="s">
        <v>202</v>
      </c>
      <c r="G59" s="20" t="str">
        <f>IF(COUNTIFS(Reconciliation!$B$2:$B$101,B59,Reconciliation!$C$2:$C$101,C59)=0,"Unapplied","Applied")</f>
        <v>Applied</v>
      </c>
    </row>
    <row r="60" spans="1:7" x14ac:dyDescent="0.25">
      <c r="A60" s="6">
        <v>59</v>
      </c>
      <c r="B60" s="6" t="s">
        <v>35</v>
      </c>
      <c r="C60" s="6" t="s">
        <v>96</v>
      </c>
      <c r="D60" s="18">
        <v>46199</v>
      </c>
      <c r="E60" s="19">
        <v>298.52</v>
      </c>
      <c r="F60" s="6" t="s">
        <v>203</v>
      </c>
      <c r="G60" s="20" t="str">
        <f>IF(COUNTIFS(Reconciliation!$B$2:$B$101,B60,Reconciliation!$C$2:$C$101,C60)=0,"Unapplied","Applied")</f>
        <v>Applied</v>
      </c>
    </row>
    <row r="61" spans="1:7" x14ac:dyDescent="0.25">
      <c r="A61" s="6">
        <v>60</v>
      </c>
      <c r="B61" s="6" t="s">
        <v>40</v>
      </c>
      <c r="C61" s="6" t="s">
        <v>97</v>
      </c>
      <c r="D61" s="18">
        <v>46192</v>
      </c>
      <c r="E61" s="19">
        <v>1802.9</v>
      </c>
      <c r="F61" s="6" t="s">
        <v>204</v>
      </c>
      <c r="G61" s="20" t="str">
        <f>IF(COUNTIFS(Reconciliation!$B$2:$B$101,B61,Reconciliation!$C$2:$C$101,C61)=0,"Unapplied","Applied")</f>
        <v>Applied</v>
      </c>
    </row>
    <row r="62" spans="1:7" x14ac:dyDescent="0.25">
      <c r="A62" s="6">
        <v>61</v>
      </c>
      <c r="B62" s="6" t="s">
        <v>40</v>
      </c>
      <c r="C62" s="6" t="s">
        <v>98</v>
      </c>
      <c r="D62" s="18">
        <v>46209</v>
      </c>
      <c r="E62" s="19">
        <v>631.41999999999996</v>
      </c>
      <c r="F62" s="6" t="s">
        <v>205</v>
      </c>
      <c r="G62" s="20" t="str">
        <f>IF(COUNTIFS(Reconciliation!$B$2:$B$101,B62,Reconciliation!$C$2:$C$101,C62)=0,"Unapplied","Applied")</f>
        <v>Applied</v>
      </c>
    </row>
    <row r="63" spans="1:7" x14ac:dyDescent="0.25">
      <c r="A63" s="6">
        <v>62</v>
      </c>
      <c r="B63" s="6" t="s">
        <v>31</v>
      </c>
      <c r="C63" s="6" t="s">
        <v>99</v>
      </c>
      <c r="D63" s="18">
        <v>46191</v>
      </c>
      <c r="E63" s="19">
        <v>1855.24</v>
      </c>
      <c r="F63" s="6" t="s">
        <v>206</v>
      </c>
      <c r="G63" s="20" t="str">
        <f>IF(COUNTIFS(Reconciliation!$B$2:$B$101,B63,Reconciliation!$C$2:$C$101,C63)=0,"Unapplied","Applied")</f>
        <v>Applied</v>
      </c>
    </row>
    <row r="64" spans="1:7" x14ac:dyDescent="0.25">
      <c r="A64" s="6">
        <v>63</v>
      </c>
      <c r="B64" s="6" t="s">
        <v>31</v>
      </c>
      <c r="C64" s="6" t="s">
        <v>99</v>
      </c>
      <c r="D64" s="18">
        <v>46191</v>
      </c>
      <c r="E64" s="19">
        <v>1855.24</v>
      </c>
      <c r="F64" s="6" t="s">
        <v>207</v>
      </c>
      <c r="G64" s="20" t="str">
        <f>IF(COUNTIFS(Reconciliation!$B$2:$B$101,B64,Reconciliation!$C$2:$C$101,C64)=0,"Unapplied","Applied")</f>
        <v>Applied</v>
      </c>
    </row>
    <row r="65" spans="1:7" x14ac:dyDescent="0.25">
      <c r="A65" s="6">
        <v>64</v>
      </c>
      <c r="B65" s="6" t="s">
        <v>35</v>
      </c>
      <c r="C65" s="6" t="s">
        <v>100</v>
      </c>
      <c r="D65" s="18">
        <v>46212</v>
      </c>
      <c r="E65" s="19">
        <v>98.33</v>
      </c>
      <c r="F65" s="6" t="s">
        <v>208</v>
      </c>
      <c r="G65" s="20" t="str">
        <f>IF(COUNTIFS(Reconciliation!$B$2:$B$101,B65,Reconciliation!$C$2:$C$101,C65)=0,"Unapplied","Applied")</f>
        <v>Applied</v>
      </c>
    </row>
    <row r="66" spans="1:7" x14ac:dyDescent="0.25">
      <c r="A66" s="6">
        <v>65</v>
      </c>
      <c r="B66" s="6" t="s">
        <v>35</v>
      </c>
      <c r="C66" s="6" t="s">
        <v>101</v>
      </c>
      <c r="D66" s="18">
        <v>46213</v>
      </c>
      <c r="E66" s="19">
        <v>1991.74</v>
      </c>
      <c r="F66" s="6" t="s">
        <v>209</v>
      </c>
      <c r="G66" s="20" t="str">
        <f>IF(COUNTIFS(Reconciliation!$B$2:$B$101,B66,Reconciliation!$C$2:$C$101,C66)=0,"Unapplied","Applied")</f>
        <v>Applied</v>
      </c>
    </row>
    <row r="67" spans="1:7" x14ac:dyDescent="0.25">
      <c r="A67" s="6">
        <v>66</v>
      </c>
      <c r="B67" s="6" t="s">
        <v>40</v>
      </c>
      <c r="C67" s="6" t="s">
        <v>103</v>
      </c>
      <c r="D67" s="18">
        <v>46195</v>
      </c>
      <c r="E67" s="19">
        <v>795.96</v>
      </c>
      <c r="F67" s="6" t="s">
        <v>210</v>
      </c>
      <c r="G67" s="20" t="str">
        <f>IF(COUNTIFS(Reconciliation!$B$2:$B$101,B67,Reconciliation!$C$2:$C$101,C67)=0,"Unapplied","Applied")</f>
        <v>Applied</v>
      </c>
    </row>
    <row r="68" spans="1:7" x14ac:dyDescent="0.25">
      <c r="A68" s="6">
        <v>67</v>
      </c>
      <c r="B68" s="6" t="s">
        <v>40</v>
      </c>
      <c r="C68" s="6" t="s">
        <v>211</v>
      </c>
      <c r="D68" s="18">
        <v>46194</v>
      </c>
      <c r="E68" s="19">
        <v>150.1</v>
      </c>
      <c r="F68" s="6" t="s">
        <v>212</v>
      </c>
      <c r="G68" s="20" t="str">
        <f>IF(COUNTIFS(Reconciliation!$B$2:$B$101,B68,Reconciliation!$C$2:$C$101,C68)=0,"Unapplied","Applied")</f>
        <v>Unapplied</v>
      </c>
    </row>
    <row r="69" spans="1:7" x14ac:dyDescent="0.25">
      <c r="A69" s="6">
        <v>68</v>
      </c>
      <c r="B69" s="6" t="s">
        <v>33</v>
      </c>
      <c r="C69" s="6" t="s">
        <v>104</v>
      </c>
      <c r="D69" s="18">
        <v>46211</v>
      </c>
      <c r="E69" s="19">
        <v>645.12</v>
      </c>
      <c r="F69" s="6" t="s">
        <v>213</v>
      </c>
      <c r="G69" s="20" t="str">
        <f>IF(COUNTIFS(Reconciliation!$B$2:$B$101,B69,Reconciliation!$C$2:$C$101,C69)=0,"Unapplied","Applied")</f>
        <v>Applied</v>
      </c>
    </row>
    <row r="70" spans="1:7" x14ac:dyDescent="0.25">
      <c r="A70" s="6">
        <v>69</v>
      </c>
      <c r="B70" s="6" t="s">
        <v>31</v>
      </c>
      <c r="C70" s="6" t="s">
        <v>105</v>
      </c>
      <c r="D70" s="18">
        <v>46197</v>
      </c>
      <c r="E70" s="19">
        <v>96.15</v>
      </c>
      <c r="F70" s="6" t="s">
        <v>214</v>
      </c>
      <c r="G70" s="20" t="str">
        <f>IF(COUNTIFS(Reconciliation!$B$2:$B$101,B70,Reconciliation!$C$2:$C$101,C70)=0,"Unapplied","Applied")</f>
        <v>Applied</v>
      </c>
    </row>
    <row r="71" spans="1:7" x14ac:dyDescent="0.25">
      <c r="A71" s="6">
        <v>70</v>
      </c>
      <c r="B71" s="6" t="s">
        <v>33</v>
      </c>
      <c r="C71" s="6" t="s">
        <v>106</v>
      </c>
      <c r="D71" s="18">
        <v>46189</v>
      </c>
      <c r="E71" s="19">
        <v>593.28</v>
      </c>
      <c r="F71" s="6" t="s">
        <v>215</v>
      </c>
      <c r="G71" s="20" t="str">
        <f>IF(COUNTIFS(Reconciliation!$B$2:$B$101,B71,Reconciliation!$C$2:$C$101,C71)=0,"Unapplied","Applied")</f>
        <v>Applied</v>
      </c>
    </row>
    <row r="72" spans="1:7" x14ac:dyDescent="0.25">
      <c r="A72" s="6">
        <v>71</v>
      </c>
      <c r="B72" s="6" t="s">
        <v>33</v>
      </c>
      <c r="C72" s="6" t="s">
        <v>216</v>
      </c>
      <c r="D72" s="18">
        <v>46193</v>
      </c>
      <c r="E72" s="19">
        <v>208.02</v>
      </c>
      <c r="F72" s="6" t="s">
        <v>217</v>
      </c>
      <c r="G72" s="20" t="str">
        <f>IF(COUNTIFS(Reconciliation!$B$2:$B$101,B72,Reconciliation!$C$2:$C$101,C72)=0,"Unapplied","Applied")</f>
        <v>Unapplied</v>
      </c>
    </row>
    <row r="73" spans="1:7" x14ac:dyDescent="0.25">
      <c r="A73" s="6">
        <v>72</v>
      </c>
      <c r="B73" s="6" t="s">
        <v>33</v>
      </c>
      <c r="C73" s="6" t="s">
        <v>107</v>
      </c>
      <c r="D73" s="18">
        <v>46190</v>
      </c>
      <c r="E73" s="19">
        <v>1600.82</v>
      </c>
      <c r="F73" s="6" t="s">
        <v>218</v>
      </c>
      <c r="G73" s="20" t="str">
        <f>IF(COUNTIFS(Reconciliation!$B$2:$B$101,B73,Reconciliation!$C$2:$C$101,C73)=0,"Unapplied","Applied")</f>
        <v>Applied</v>
      </c>
    </row>
    <row r="74" spans="1:7" x14ac:dyDescent="0.25">
      <c r="A74" s="6">
        <v>73</v>
      </c>
      <c r="B74" s="6" t="s">
        <v>31</v>
      </c>
      <c r="C74" s="6" t="s">
        <v>108</v>
      </c>
      <c r="D74" s="18">
        <v>46188</v>
      </c>
      <c r="E74" s="19">
        <v>1182.1500000000001</v>
      </c>
      <c r="F74" s="6" t="s">
        <v>219</v>
      </c>
      <c r="G74" s="20" t="str">
        <f>IF(COUNTIFS(Reconciliation!$B$2:$B$101,B74,Reconciliation!$C$2:$C$101,C74)=0,"Unapplied","Applied")</f>
        <v>Applied</v>
      </c>
    </row>
    <row r="75" spans="1:7" x14ac:dyDescent="0.25">
      <c r="A75" s="6">
        <v>74</v>
      </c>
      <c r="B75" s="6" t="s">
        <v>31</v>
      </c>
      <c r="C75" s="6" t="s">
        <v>220</v>
      </c>
      <c r="D75" s="18">
        <v>46200</v>
      </c>
      <c r="E75" s="19">
        <v>98.78</v>
      </c>
      <c r="F75" s="6" t="s">
        <v>221</v>
      </c>
      <c r="G75" s="20" t="str">
        <f>IF(COUNTIFS(Reconciliation!$B$2:$B$101,B75,Reconciliation!$C$2:$C$101,C75)=0,"Unapplied","Applied")</f>
        <v>Unapplied</v>
      </c>
    </row>
    <row r="76" spans="1:7" x14ac:dyDescent="0.25">
      <c r="A76" s="6">
        <v>75</v>
      </c>
      <c r="B76" s="6" t="s">
        <v>35</v>
      </c>
      <c r="C76" s="6" t="s">
        <v>110</v>
      </c>
      <c r="D76" s="18">
        <v>46198</v>
      </c>
      <c r="E76" s="19">
        <v>1232.1099999999999</v>
      </c>
      <c r="F76" s="6" t="s">
        <v>222</v>
      </c>
      <c r="G76" s="20" t="str">
        <f>IF(COUNTIFS(Reconciliation!$B$2:$B$101,B76,Reconciliation!$C$2:$C$101,C76)=0,"Unapplied","Applied")</f>
        <v>Applied</v>
      </c>
    </row>
    <row r="77" spans="1:7" x14ac:dyDescent="0.25">
      <c r="A77" s="6">
        <v>76</v>
      </c>
      <c r="B77" s="6" t="s">
        <v>35</v>
      </c>
      <c r="C77" s="6" t="s">
        <v>110</v>
      </c>
      <c r="D77" s="18">
        <v>46207</v>
      </c>
      <c r="E77" s="19">
        <v>1232.1099999999999</v>
      </c>
      <c r="F77" s="6" t="s">
        <v>223</v>
      </c>
      <c r="G77" s="20" t="str">
        <f>IF(COUNTIFS(Reconciliation!$B$2:$B$101,B77,Reconciliation!$C$2:$C$101,C77)=0,"Unapplied","Applied")</f>
        <v>Applied</v>
      </c>
    </row>
    <row r="78" spans="1:7" x14ac:dyDescent="0.25">
      <c r="A78" s="6">
        <v>77</v>
      </c>
      <c r="B78" s="6" t="s">
        <v>31</v>
      </c>
      <c r="C78" s="6" t="s">
        <v>111</v>
      </c>
      <c r="D78" s="18">
        <v>46214</v>
      </c>
      <c r="E78" s="19">
        <v>546.71</v>
      </c>
      <c r="F78" s="6" t="s">
        <v>224</v>
      </c>
      <c r="G78" s="20" t="str">
        <f>IF(COUNTIFS(Reconciliation!$B$2:$B$101,B78,Reconciliation!$C$2:$C$101,C78)=0,"Unapplied","Applied")</f>
        <v>Applied</v>
      </c>
    </row>
    <row r="79" spans="1:7" x14ac:dyDescent="0.25">
      <c r="A79" s="6">
        <v>78</v>
      </c>
      <c r="B79" s="6" t="s">
        <v>40</v>
      </c>
      <c r="C79" s="6" t="s">
        <v>112</v>
      </c>
      <c r="D79" s="18">
        <v>46210</v>
      </c>
      <c r="E79" s="19">
        <v>1260.24</v>
      </c>
      <c r="F79" s="6" t="s">
        <v>225</v>
      </c>
      <c r="G79" s="20" t="str">
        <f>IF(COUNTIFS(Reconciliation!$B$2:$B$101,B79,Reconciliation!$C$2:$C$101,C79)=0,"Unapplied","Applied")</f>
        <v>Applied</v>
      </c>
    </row>
    <row r="80" spans="1:7" x14ac:dyDescent="0.25">
      <c r="A80" s="6">
        <v>79</v>
      </c>
      <c r="B80" s="6" t="s">
        <v>33</v>
      </c>
      <c r="C80" s="6" t="s">
        <v>113</v>
      </c>
      <c r="D80" s="18">
        <v>46219</v>
      </c>
      <c r="E80" s="19">
        <v>891.03</v>
      </c>
      <c r="F80" s="6" t="s">
        <v>226</v>
      </c>
      <c r="G80" s="20" t="str">
        <f>IF(COUNTIFS(Reconciliation!$B$2:$B$101,B80,Reconciliation!$C$2:$C$101,C80)=0,"Unapplied","Applied")</f>
        <v>Applied</v>
      </c>
    </row>
    <row r="81" spans="1:7" x14ac:dyDescent="0.25">
      <c r="A81" s="6">
        <v>80</v>
      </c>
      <c r="B81" s="6" t="s">
        <v>33</v>
      </c>
      <c r="C81" s="6" t="s">
        <v>113</v>
      </c>
      <c r="D81" s="18">
        <v>46219</v>
      </c>
      <c r="E81" s="19">
        <v>891.03</v>
      </c>
      <c r="F81" s="6" t="s">
        <v>227</v>
      </c>
      <c r="G81" s="20" t="str">
        <f>IF(COUNTIFS(Reconciliation!$B$2:$B$101,B81,Reconciliation!$C$2:$C$101,C81)=0,"Unapplied","Applied")</f>
        <v>Applied</v>
      </c>
    </row>
    <row r="82" spans="1:7" x14ac:dyDescent="0.25">
      <c r="A82" s="6">
        <v>81</v>
      </c>
      <c r="B82" s="6" t="s">
        <v>40</v>
      </c>
      <c r="C82" s="6" t="s">
        <v>114</v>
      </c>
      <c r="D82" s="18">
        <v>46201</v>
      </c>
      <c r="E82" s="19">
        <v>1710.47</v>
      </c>
      <c r="F82" s="6" t="s">
        <v>228</v>
      </c>
      <c r="G82" s="20" t="str">
        <f>IF(COUNTIFS(Reconciliation!$B$2:$B$101,B82,Reconciliation!$C$2:$C$101,C82)=0,"Unapplied","Applied")</f>
        <v>Applied</v>
      </c>
    </row>
    <row r="83" spans="1:7" x14ac:dyDescent="0.25">
      <c r="A83" s="6">
        <v>82</v>
      </c>
      <c r="B83" s="6" t="s">
        <v>33</v>
      </c>
      <c r="C83" s="6" t="s">
        <v>115</v>
      </c>
      <c r="D83" s="18">
        <v>46194</v>
      </c>
      <c r="E83" s="19">
        <v>602.44000000000005</v>
      </c>
      <c r="F83" s="6" t="s">
        <v>229</v>
      </c>
      <c r="G83" s="20" t="str">
        <f>IF(COUNTIFS(Reconciliation!$B$2:$B$101,B83,Reconciliation!$C$2:$C$101,C83)=0,"Unapplied","Applied")</f>
        <v>Applied</v>
      </c>
    </row>
    <row r="84" spans="1:7" x14ac:dyDescent="0.25">
      <c r="A84" s="6">
        <v>83</v>
      </c>
      <c r="B84" s="6" t="s">
        <v>35</v>
      </c>
      <c r="C84" s="6" t="s">
        <v>116</v>
      </c>
      <c r="D84" s="18">
        <v>46196</v>
      </c>
      <c r="E84" s="19">
        <v>1346.61</v>
      </c>
      <c r="F84" s="6" t="s">
        <v>230</v>
      </c>
      <c r="G84" s="20" t="str">
        <f>IF(COUNTIFS(Reconciliation!$B$2:$B$101,B84,Reconciliation!$C$2:$C$101,C84)=0,"Unapplied","Applied")</f>
        <v>Applied</v>
      </c>
    </row>
    <row r="85" spans="1:7" x14ac:dyDescent="0.25">
      <c r="A85" s="6">
        <v>84</v>
      </c>
      <c r="B85" s="6" t="s">
        <v>33</v>
      </c>
      <c r="C85" s="6" t="s">
        <v>117</v>
      </c>
      <c r="D85" s="18">
        <v>46205</v>
      </c>
      <c r="E85" s="19">
        <v>841.85</v>
      </c>
      <c r="F85" s="6" t="s">
        <v>231</v>
      </c>
      <c r="G85" s="20" t="str">
        <f>IF(COUNTIFS(Reconciliation!$B$2:$B$101,B85,Reconciliation!$C$2:$C$101,C85)=0,"Unapplied","Applied")</f>
        <v>Applied</v>
      </c>
    </row>
    <row r="86" spans="1:7" x14ac:dyDescent="0.25">
      <c r="A86" s="6">
        <v>85</v>
      </c>
      <c r="B86" s="6" t="s">
        <v>33</v>
      </c>
      <c r="C86" s="6" t="s">
        <v>118</v>
      </c>
      <c r="D86" s="18">
        <v>46202</v>
      </c>
      <c r="E86" s="19">
        <v>609.48</v>
      </c>
      <c r="F86" s="6" t="s">
        <v>232</v>
      </c>
      <c r="G86" s="20" t="str">
        <f>IF(COUNTIFS(Reconciliation!$B$2:$B$101,B86,Reconciliation!$C$2:$C$101,C86)=0,"Unapplied","Applied")</f>
        <v>Applied</v>
      </c>
    </row>
    <row r="87" spans="1:7" x14ac:dyDescent="0.25">
      <c r="A87" s="6">
        <v>86</v>
      </c>
      <c r="B87" s="6" t="s">
        <v>33</v>
      </c>
      <c r="C87" s="6" t="s">
        <v>118</v>
      </c>
      <c r="D87" s="18">
        <v>46206</v>
      </c>
      <c r="E87" s="19">
        <v>609.48</v>
      </c>
      <c r="F87" s="6" t="s">
        <v>233</v>
      </c>
      <c r="G87" s="20" t="str">
        <f>IF(COUNTIFS(Reconciliation!$B$2:$B$101,B87,Reconciliation!$C$2:$C$101,C87)=0,"Unapplied","Applied")</f>
        <v>Applied</v>
      </c>
    </row>
    <row r="88" spans="1:7" x14ac:dyDescent="0.25">
      <c r="A88" s="6">
        <v>87</v>
      </c>
      <c r="B88" s="6" t="s">
        <v>35</v>
      </c>
      <c r="C88" s="6" t="s">
        <v>119</v>
      </c>
      <c r="D88" s="18">
        <v>46200</v>
      </c>
      <c r="E88" s="19">
        <v>912.21</v>
      </c>
      <c r="F88" s="6" t="s">
        <v>234</v>
      </c>
      <c r="G88" s="20" t="str">
        <f>IF(COUNTIFS(Reconciliation!$B$2:$B$101,B88,Reconciliation!$C$2:$C$101,C88)=0,"Unapplied","Applied")</f>
        <v>Applied</v>
      </c>
    </row>
    <row r="89" spans="1:7" x14ac:dyDescent="0.25">
      <c r="A89" s="6">
        <v>88</v>
      </c>
      <c r="B89" s="6" t="s">
        <v>35</v>
      </c>
      <c r="C89" s="6" t="s">
        <v>235</v>
      </c>
      <c r="D89" s="18">
        <v>46190</v>
      </c>
      <c r="E89" s="19">
        <v>407.18</v>
      </c>
      <c r="F89" s="6" t="s">
        <v>236</v>
      </c>
      <c r="G89" s="20" t="str">
        <f>IF(COUNTIFS(Reconciliation!$B$2:$B$101,B89,Reconciliation!$C$2:$C$101,C89)=0,"Unapplied","Applied")</f>
        <v>Unapplied</v>
      </c>
    </row>
    <row r="90" spans="1:7" x14ac:dyDescent="0.25">
      <c r="A90" s="6">
        <v>89</v>
      </c>
      <c r="B90" s="6" t="s">
        <v>40</v>
      </c>
      <c r="C90" s="6" t="s">
        <v>120</v>
      </c>
      <c r="D90" s="18">
        <v>46210</v>
      </c>
      <c r="E90" s="19">
        <v>603.38</v>
      </c>
      <c r="F90" s="6" t="s">
        <v>237</v>
      </c>
      <c r="G90" s="20" t="str">
        <f>IF(COUNTIFS(Reconciliation!$B$2:$B$101,B90,Reconciliation!$C$2:$C$101,C90)=0,"Unapplied","Applied")</f>
        <v>Applied</v>
      </c>
    </row>
    <row r="91" spans="1:7" x14ac:dyDescent="0.25">
      <c r="A91" s="6">
        <v>90</v>
      </c>
      <c r="B91" s="6" t="s">
        <v>31</v>
      </c>
      <c r="C91" s="6" t="s">
        <v>122</v>
      </c>
      <c r="D91" s="18">
        <v>46190</v>
      </c>
      <c r="E91" s="19">
        <v>1704.67</v>
      </c>
      <c r="F91" s="6" t="s">
        <v>238</v>
      </c>
      <c r="G91" s="20" t="str">
        <f>IF(COUNTIFS(Reconciliation!$B$2:$B$101,B91,Reconciliation!$C$2:$C$101,C91)=0,"Unapplied","Applied")</f>
        <v>Applied</v>
      </c>
    </row>
    <row r="92" spans="1:7" x14ac:dyDescent="0.25">
      <c r="A92" s="6">
        <v>91</v>
      </c>
      <c r="B92" s="6" t="s">
        <v>40</v>
      </c>
      <c r="C92" s="6" t="s">
        <v>123</v>
      </c>
      <c r="D92" s="18">
        <v>46196</v>
      </c>
      <c r="E92" s="19">
        <v>140.12</v>
      </c>
      <c r="F92" s="6" t="s">
        <v>239</v>
      </c>
      <c r="G92" s="20" t="str">
        <f>IF(COUNTIFS(Reconciliation!$B$2:$B$101,B92,Reconciliation!$C$2:$C$101,C92)=0,"Unapplied","Applied")</f>
        <v>Applied</v>
      </c>
    </row>
    <row r="93" spans="1:7" x14ac:dyDescent="0.25">
      <c r="A93" s="6">
        <v>92</v>
      </c>
      <c r="B93" s="6" t="s">
        <v>35</v>
      </c>
      <c r="C93" s="6" t="s">
        <v>124</v>
      </c>
      <c r="D93" s="18">
        <v>46211</v>
      </c>
      <c r="E93" s="19">
        <v>626.69000000000005</v>
      </c>
      <c r="F93" s="6" t="s">
        <v>240</v>
      </c>
      <c r="G93" s="20" t="str">
        <f>IF(COUNTIFS(Reconciliation!$B$2:$B$101,B93,Reconciliation!$C$2:$C$101,C93)=0,"Unapplied","Applied")</f>
        <v>Applied</v>
      </c>
    </row>
    <row r="94" spans="1:7" x14ac:dyDescent="0.25">
      <c r="A94" s="6">
        <v>93</v>
      </c>
      <c r="B94" s="6" t="s">
        <v>35</v>
      </c>
      <c r="C94" s="6" t="s">
        <v>125</v>
      </c>
      <c r="D94" s="18">
        <v>46183</v>
      </c>
      <c r="E94" s="19">
        <v>829.32</v>
      </c>
      <c r="F94" s="6" t="s">
        <v>241</v>
      </c>
      <c r="G94" s="20" t="str">
        <f>IF(COUNTIFS(Reconciliation!$B$2:$B$101,B94,Reconciliation!$C$2:$C$101,C94)=0,"Unapplied","Applied")</f>
        <v>Applied</v>
      </c>
    </row>
    <row r="95" spans="1:7" x14ac:dyDescent="0.25">
      <c r="A95" s="6">
        <v>94</v>
      </c>
      <c r="B95" s="6" t="s">
        <v>35</v>
      </c>
      <c r="C95" s="6" t="s">
        <v>125</v>
      </c>
      <c r="D95" s="18">
        <v>46186</v>
      </c>
      <c r="E95" s="19">
        <v>829.32</v>
      </c>
      <c r="F95" s="6" t="s">
        <v>242</v>
      </c>
      <c r="G95" s="20" t="str">
        <f>IF(COUNTIFS(Reconciliation!$B$2:$B$101,B95,Reconciliation!$C$2:$C$101,C95)=0,"Unapplied","Applied")</f>
        <v>Applied</v>
      </c>
    </row>
    <row r="96" spans="1:7" x14ac:dyDescent="0.25">
      <c r="A96" s="6">
        <v>95</v>
      </c>
      <c r="B96" s="6" t="s">
        <v>35</v>
      </c>
      <c r="C96" s="6" t="s">
        <v>126</v>
      </c>
      <c r="D96" s="18">
        <v>46218</v>
      </c>
      <c r="E96" s="19">
        <v>476.74</v>
      </c>
      <c r="F96" s="6" t="s">
        <v>243</v>
      </c>
      <c r="G96" s="20" t="str">
        <f>IF(COUNTIFS(Reconciliation!$B$2:$B$101,B96,Reconciliation!$C$2:$C$101,C96)=0,"Unapplied","Applied")</f>
        <v>Applied</v>
      </c>
    </row>
    <row r="97" spans="1:7" x14ac:dyDescent="0.25">
      <c r="A97" s="6">
        <v>96</v>
      </c>
      <c r="B97" s="6" t="s">
        <v>40</v>
      </c>
      <c r="C97" s="6" t="s">
        <v>127</v>
      </c>
      <c r="D97" s="18">
        <v>46211</v>
      </c>
      <c r="E97" s="19">
        <v>1136.94</v>
      </c>
      <c r="F97" s="6" t="s">
        <v>244</v>
      </c>
      <c r="G97" s="20" t="str">
        <f>IF(COUNTIFS(Reconciliation!$B$2:$B$101,B97,Reconciliation!$C$2:$C$101,C97)=0,"Unapplied","Applied")</f>
        <v>Applied</v>
      </c>
    </row>
    <row r="98" spans="1:7" x14ac:dyDescent="0.25">
      <c r="A98" s="6">
        <v>97</v>
      </c>
      <c r="B98" s="6" t="s">
        <v>35</v>
      </c>
      <c r="C98" s="6" t="s">
        <v>128</v>
      </c>
      <c r="D98" s="18">
        <v>46203</v>
      </c>
      <c r="E98" s="19">
        <v>310.01</v>
      </c>
      <c r="F98" s="6" t="s">
        <v>245</v>
      </c>
      <c r="G98" s="20" t="str">
        <f>IF(COUNTIFS(Reconciliation!$B$2:$B$101,B98,Reconciliation!$C$2:$C$101,C98)=0,"Unapplied","Applied")</f>
        <v>Applied</v>
      </c>
    </row>
    <row r="99" spans="1:7" x14ac:dyDescent="0.25">
      <c r="A99" s="6">
        <v>98</v>
      </c>
      <c r="B99" s="6" t="s">
        <v>35</v>
      </c>
      <c r="C99" s="6" t="s">
        <v>129</v>
      </c>
      <c r="D99" s="18">
        <v>46215</v>
      </c>
      <c r="E99" s="19">
        <v>1244.67</v>
      </c>
      <c r="F99" s="6" t="s">
        <v>246</v>
      </c>
      <c r="G99" s="20" t="str">
        <f>IF(COUNTIFS(Reconciliation!$B$2:$B$101,B99,Reconciliation!$C$2:$C$101,C99)=0,"Unapplied","Applied")</f>
        <v>Applied</v>
      </c>
    </row>
    <row r="100" spans="1:7" x14ac:dyDescent="0.25">
      <c r="A100" s="6">
        <v>99</v>
      </c>
      <c r="B100" s="6" t="s">
        <v>35</v>
      </c>
      <c r="C100" s="6" t="s">
        <v>130</v>
      </c>
      <c r="D100" s="18">
        <v>46217</v>
      </c>
      <c r="E100" s="19">
        <v>1799.56</v>
      </c>
      <c r="F100" s="6" t="s">
        <v>247</v>
      </c>
      <c r="G100" s="20" t="str">
        <f>IF(COUNTIFS(Reconciliation!$B$2:$B$101,B100,Reconciliation!$C$2:$C$101,C100)=0,"Unapplied","Applied")</f>
        <v>Applied</v>
      </c>
    </row>
    <row r="101" spans="1:7" x14ac:dyDescent="0.25">
      <c r="A101" s="6">
        <v>100</v>
      </c>
      <c r="B101" s="6" t="s">
        <v>35</v>
      </c>
      <c r="C101" s="6" t="s">
        <v>131</v>
      </c>
      <c r="D101" s="18">
        <v>46194</v>
      </c>
      <c r="E101" s="19">
        <v>555.41999999999996</v>
      </c>
      <c r="F101" s="6" t="s">
        <v>248</v>
      </c>
      <c r="G101" s="20" t="str">
        <f>IF(COUNTIFS(Reconciliation!$B$2:$B$101,B101,Reconciliation!$C$2:$C$101,C101)=0,"Unapplied","Applied")</f>
        <v>Applied</v>
      </c>
    </row>
    <row r="102" spans="1:7" x14ac:dyDescent="0.25">
      <c r="A102" s="6">
        <v>101</v>
      </c>
      <c r="B102" s="6" t="s">
        <v>35</v>
      </c>
      <c r="C102" s="6" t="s">
        <v>249</v>
      </c>
      <c r="D102" s="18">
        <v>46201</v>
      </c>
      <c r="E102" s="19">
        <v>394.62</v>
      </c>
      <c r="F102" s="6" t="s">
        <v>250</v>
      </c>
      <c r="G102" s="20" t="str">
        <f>IF(COUNTIFS(Reconciliation!$B$2:$B$101,B102,Reconciliation!$C$2:$C$101,C102)=0,"Unapplied","Applied")</f>
        <v>Unapplied</v>
      </c>
    </row>
    <row r="103" spans="1:7" x14ac:dyDescent="0.25">
      <c r="A103" s="6">
        <v>102</v>
      </c>
      <c r="B103" s="6" t="s">
        <v>31</v>
      </c>
      <c r="C103" s="6" t="s">
        <v>132</v>
      </c>
      <c r="D103" s="18">
        <v>46190</v>
      </c>
      <c r="E103" s="19">
        <v>585.47</v>
      </c>
      <c r="F103" s="6" t="s">
        <v>251</v>
      </c>
      <c r="G103" s="20" t="str">
        <f>IF(COUNTIFS(Reconciliation!$B$2:$B$101,B103,Reconciliation!$C$2:$C$101,C103)=0,"Unapplied","Applied")</f>
        <v>Applied</v>
      </c>
    </row>
    <row r="104" spans="1:7" x14ac:dyDescent="0.25">
      <c r="A104" s="6">
        <v>103</v>
      </c>
      <c r="B104" s="6" t="s">
        <v>31</v>
      </c>
      <c r="C104" s="6" t="s">
        <v>133</v>
      </c>
      <c r="D104" s="18">
        <v>46191</v>
      </c>
      <c r="E104" s="19">
        <v>579.84</v>
      </c>
      <c r="F104" s="6" t="s">
        <v>252</v>
      </c>
      <c r="G104" s="20" t="str">
        <f>IF(COUNTIFS(Reconciliation!$B$2:$B$101,B104,Reconciliation!$C$2:$C$101,C104)=0,"Unapplied","Applied")</f>
        <v>Applied</v>
      </c>
    </row>
    <row r="105" spans="1:7" x14ac:dyDescent="0.25">
      <c r="A105" s="6">
        <v>104</v>
      </c>
      <c r="B105" s="6" t="s">
        <v>31</v>
      </c>
      <c r="C105" s="6" t="s">
        <v>134</v>
      </c>
      <c r="D105" s="18">
        <v>46195</v>
      </c>
      <c r="E105" s="19">
        <v>344.12</v>
      </c>
      <c r="F105" s="6" t="s">
        <v>253</v>
      </c>
      <c r="G105" s="20" t="str">
        <f>IF(COUNTIFS(Reconciliation!$B$2:$B$101,B105,Reconciliation!$C$2:$C$101,C105)=0,"Unapplied","Applied")</f>
        <v>Applied</v>
      </c>
    </row>
    <row r="106" spans="1:7" x14ac:dyDescent="0.25">
      <c r="A106" s="6">
        <v>105</v>
      </c>
      <c r="B106" s="6" t="s">
        <v>31</v>
      </c>
      <c r="C106" s="6" t="s">
        <v>134</v>
      </c>
      <c r="D106" s="18">
        <v>46197</v>
      </c>
      <c r="E106" s="19">
        <v>344.12</v>
      </c>
      <c r="F106" s="6" t="s">
        <v>254</v>
      </c>
      <c r="G106" s="20" t="str">
        <f>IF(COUNTIFS(Reconciliation!$B$2:$B$101,B106,Reconciliation!$C$2:$C$101,C106)=0,"Unapplied","Applied")</f>
        <v>Applied</v>
      </c>
    </row>
  </sheetData>
  <autoFilter ref="A1:G106" xr:uid="{00000000-0009-0000-0000-000002000000}"/>
  <conditionalFormatting sqref="G2:G106">
    <cfRule type="cellIs" dxfId="0" priority="1" operator="equal">
      <formula>"Unapplied"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Reconciliation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Adnan</cp:lastModifiedBy>
  <dcterms:created xsi:type="dcterms:W3CDTF">2026-09-21T21:12:26Z</dcterms:created>
  <dcterms:modified xsi:type="dcterms:W3CDTF">2026-09-21T21:13:41Z</dcterms:modified>
</cp:coreProperties>
</file>